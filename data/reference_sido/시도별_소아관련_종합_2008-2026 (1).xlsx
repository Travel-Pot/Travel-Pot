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어린이집수" sheetId="1" state="visible" r:id="rId3"/>
    <sheet name="정원" sheetId="2" state="visible" r:id="rId4"/>
    <sheet name="현원" sheetId="3" state="visible" r:id="rId5"/>
    <sheet name="충족률" sheetId="4" state="visible" r:id="rId6"/>
    <sheet name="출생등록" sheetId="5" state="visible" r:id="rId7"/>
    <sheet name="소아청소년과의원" sheetId="6" state="visible" r:id="rId8"/>
    <sheet name="출처·메모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<sst xmlns="http://schemas.openxmlformats.org/spreadsheetml/2006/main" count="260" uniqueCount="92">
  <si>
    <r>
      <rPr>
        <b val="true"/>
        <sz val="12"/>
        <rFont val="Noto Sans CJK SC"/>
        <family val="2"/>
      </rPr>
      <t xml:space="preserve">시도별 어린이집 수 </t>
    </r>
    <r>
      <rPr>
        <b val="true"/>
        <sz val="12"/>
        <rFont val="Arial"/>
        <family val="0"/>
        <charset val="1"/>
      </rPr>
      <t xml:space="preserve">(2009~2026)</t>
    </r>
  </si>
  <si>
    <r>
      <rPr>
        <i val="true"/>
        <sz val="9"/>
        <color rgb="FF666666"/>
        <rFont val="Arial"/>
        <family val="0"/>
        <charset val="1"/>
      </rPr>
      <t xml:space="preserve">2009~2022: </t>
    </r>
    <r>
      <rPr>
        <i val="true"/>
        <sz val="9"/>
        <color rgb="FF666666"/>
        <rFont val="Noto Sans CJK SC"/>
        <family val="2"/>
      </rPr>
      <t xml:space="preserve">어린이집정보공개포털 </t>
    </r>
    <r>
      <rPr>
        <i val="true"/>
        <sz val="9"/>
        <color rgb="FF666666"/>
        <rFont val="Arial"/>
        <family val="0"/>
        <charset val="1"/>
      </rPr>
      <t xml:space="preserve">FILE / 2023~2025: KOSIS </t>
    </r>
    <r>
      <rPr>
        <i val="true"/>
        <sz val="9"/>
        <color rgb="FF666666"/>
        <rFont val="Noto Sans CJK SC"/>
        <family val="2"/>
      </rPr>
      <t xml:space="preserve">「어린이집및이용자통계」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교육부</t>
    </r>
    <r>
      <rPr>
        <i val="true"/>
        <sz val="9"/>
        <color rgb="FF666666"/>
        <rFont val="Arial"/>
        <family val="0"/>
        <charset val="1"/>
      </rPr>
      <t xml:space="preserve">) 12</t>
    </r>
    <r>
      <rPr>
        <i val="true"/>
        <sz val="9"/>
        <color rgb="FF666666"/>
        <rFont val="Noto Sans CJK SC"/>
        <family val="2"/>
      </rPr>
      <t xml:space="preserve">월 말 </t>
    </r>
    <r>
      <rPr>
        <i val="true"/>
        <sz val="9"/>
        <color rgb="FF666666"/>
        <rFont val="Arial"/>
        <family val="0"/>
        <charset val="1"/>
      </rPr>
      <t xml:space="preserve">/ 2026: </t>
    </r>
    <r>
      <rPr>
        <i val="true"/>
        <sz val="9"/>
        <color rgb="FF666666"/>
        <rFont val="Noto Sans CJK SC"/>
        <family val="2"/>
      </rPr>
      <t xml:space="preserve">포털 </t>
    </r>
    <r>
      <rPr>
        <i val="true"/>
        <sz val="9"/>
        <color rgb="FF666666"/>
        <rFont val="Arial"/>
        <family val="0"/>
        <charset val="1"/>
      </rPr>
      <t xml:space="preserve">2026</t>
    </r>
    <r>
      <rPr>
        <i val="true"/>
        <sz val="9"/>
        <color rgb="FF666666"/>
        <rFont val="Noto Sans CJK SC"/>
        <family val="2"/>
      </rPr>
      <t xml:space="preserve">년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시군구 합산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광주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전남 전 기간 분리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</si>
  <si>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시도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</si>
  <si>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</si>
  <si>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</si>
  <si>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</si>
  <si>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</si>
  <si>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</si>
  <si>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</si>
  <si>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</si>
  <si>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</si>
  <si>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</si>
  <si>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</si>
  <si>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</si>
  <si>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</si>
  <si>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</si>
  <si>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</si>
  <si>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</si>
  <si>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</si>
  <si>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</si>
  <si>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</si>
  <si>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서울</t>
  </si>
  <si>
    <t xml:space="preserve">부산</t>
  </si>
  <si>
    <t xml:space="preserve">대구</t>
  </si>
  <si>
    <t xml:space="preserve">인천</t>
  </si>
  <si>
    <t xml:space="preserve">광주</t>
  </si>
  <si>
    <t xml:space="preserve">대전</t>
  </si>
  <si>
    <t xml:space="preserve">울산</t>
  </si>
  <si>
    <t xml:space="preserve">세종</t>
  </si>
  <si>
    <t xml:space="preserve">경기</t>
  </si>
  <si>
    <t xml:space="preserve">강원</t>
  </si>
  <si>
    <t xml:space="preserve">충북</t>
  </si>
  <si>
    <t xml:space="preserve">충남</t>
  </si>
  <si>
    <t xml:space="preserve">전북</t>
  </si>
  <si>
    <t xml:space="preserve">전남</t>
  </si>
  <si>
    <t xml:space="preserve">경북</t>
  </si>
  <si>
    <t xml:space="preserve">경남</t>
  </si>
  <si>
    <t xml:space="preserve">제주</t>
  </si>
  <si>
    <r>
      <rPr>
        <b val="true"/>
        <sz val="10"/>
        <rFont val="Noto Sans CJK SC"/>
        <family val="2"/>
      </rPr>
      <t xml:space="preserve">전국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합계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</si>
  <si>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단위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개소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파란 글씨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원자료 입력값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검정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수식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노란 칸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다른 출처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시점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메모 참고</t>
    </r>
    <r>
      <rPr>
        <i val="true"/>
        <sz val="9"/>
        <color rgb="FF666666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</si>
  <si>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공표값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</si>
  <si>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차이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공표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</si>
  <si>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시도별 어린이집 정원 </t>
    </r>
    <r>
      <rPr>
        <b val="true"/>
        <sz val="12"/>
        <rFont val="Arial"/>
        <family val="0"/>
        <charset val="1"/>
      </rPr>
      <t xml:space="preserve">(2009~2025)</t>
    </r>
  </si>
  <si>
    <r>
      <rPr>
        <i val="true"/>
        <sz val="9"/>
        <color rgb="FF666666"/>
        <rFont val="Arial"/>
        <family val="0"/>
        <charset val="1"/>
      </rPr>
      <t xml:space="preserve">KOSIS </t>
    </r>
    <r>
      <rPr>
        <i val="true"/>
        <sz val="9"/>
        <color rgb="FF666666"/>
        <rFont val="Noto Sans CJK SC"/>
        <family val="2"/>
      </rPr>
      <t xml:space="preserve">「전국 어린이집 정현원 현황」</t>
    </r>
    <r>
      <rPr>
        <i val="true"/>
        <sz val="9"/>
        <color rgb="FF666666"/>
        <rFont val="Arial"/>
        <family val="0"/>
        <charset val="1"/>
      </rPr>
      <t xml:space="preserve">(DT_15407_NN004, </t>
    </r>
    <r>
      <rPr>
        <i val="true"/>
        <sz val="9"/>
        <color rgb="FF666666"/>
        <rFont val="Noto Sans CJK SC"/>
        <family val="2"/>
      </rPr>
      <t xml:space="preserve">교육부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자료갱신 </t>
    </r>
    <r>
      <rPr>
        <i val="true"/>
        <sz val="9"/>
        <color rgb="FF666666"/>
        <rFont val="Arial"/>
        <family val="0"/>
        <charset val="1"/>
      </rPr>
      <t xml:space="preserve">2026-05-19). 2026</t>
    </r>
    <r>
      <rPr>
        <i val="true"/>
        <sz val="9"/>
        <color rgb="FF666666"/>
        <rFont val="Noto Sans CJK SC"/>
        <family val="2"/>
      </rPr>
      <t xml:space="preserve">년 정원 총합은 공개 표가 없어 제외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메모 참고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세종 </t>
    </r>
    <r>
      <rPr>
        <i val="true"/>
        <sz val="9"/>
        <color rgb="FF666666"/>
        <rFont val="Arial"/>
        <family val="0"/>
        <charset val="1"/>
      </rPr>
      <t xml:space="preserve">2009~2011</t>
    </r>
    <r>
      <rPr>
        <i val="true"/>
        <sz val="9"/>
        <color rgb="FF666666"/>
        <rFont val="Noto Sans CJK SC"/>
        <family val="2"/>
      </rPr>
      <t xml:space="preserve">은 출범 전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</si>
  <si>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i val="true"/>
        <sz val="9"/>
        <color rgb="FF666666"/>
        <rFont val="Noto Sans CJK SC"/>
        <family val="2"/>
      </rPr>
      <t xml:space="preserve">단위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명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파란 글씨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원자료 입력값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검정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수식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노란 칸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다른 출처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시점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메모 참고</t>
    </r>
    <r>
      <rPr>
        <i val="true"/>
        <sz val="9"/>
        <color rgb="FF666666"/>
        <rFont val="Arial"/>
        <family val="0"/>
        <charset val="1"/>
      </rPr>
      <t xml:space="preserve">).</t>
    </r>
  </si>
  <si>
    <r>
      <rPr>
        <b val="true"/>
        <sz val="12"/>
        <rFont val="Noto Sans CJK SC"/>
        <family val="2"/>
      </rPr>
      <t xml:space="preserve">시도별 어린이집 현원 </t>
    </r>
    <r>
      <rPr>
        <b val="true"/>
        <sz val="12"/>
        <rFont val="Arial"/>
        <family val="0"/>
        <charset val="1"/>
      </rPr>
      <t xml:space="preserve">(2009~2026)</t>
    </r>
  </si>
  <si>
    <r>
      <rPr>
        <i val="true"/>
        <sz val="9"/>
        <color rgb="FF666666"/>
        <rFont val="Arial"/>
        <family val="0"/>
        <charset val="1"/>
      </rPr>
      <t xml:space="preserve">2009~2025: KOSIS </t>
    </r>
    <r>
      <rPr>
        <i val="true"/>
        <sz val="9"/>
        <color rgb="FF666666"/>
        <rFont val="Noto Sans CJK SC"/>
        <family val="2"/>
      </rPr>
      <t xml:space="preserve">동일 표 </t>
    </r>
    <r>
      <rPr>
        <i val="true"/>
        <sz val="9"/>
        <color rgb="FF666666"/>
        <rFont val="Arial"/>
        <family val="0"/>
        <charset val="1"/>
      </rPr>
      <t xml:space="preserve">/ 2026: </t>
    </r>
    <r>
      <rPr>
        <i val="true"/>
        <sz val="9"/>
        <color rgb="FF666666"/>
        <rFont val="Noto Sans CJK SC"/>
        <family val="2"/>
      </rPr>
      <t xml:space="preserve">포털 「연령별 아동 현황」 </t>
    </r>
    <r>
      <rPr>
        <i val="true"/>
        <sz val="9"/>
        <color rgb="FF666666"/>
        <rFont val="Arial"/>
        <family val="0"/>
        <charset val="1"/>
      </rPr>
      <t xml:space="preserve">2026</t>
    </r>
    <r>
      <rPr>
        <i val="true"/>
        <sz val="9"/>
        <color rgb="FF666666"/>
        <rFont val="Noto Sans CJK SC"/>
        <family val="2"/>
      </rPr>
      <t xml:space="preserve">년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시군구 합산</t>
    </r>
    <r>
      <rPr>
        <i val="true"/>
        <sz val="9"/>
        <color rgb="FF666666"/>
        <rFont val="Arial"/>
        <family val="0"/>
        <charset val="1"/>
      </rPr>
      <t xml:space="preserve">). 2021~2025</t>
    </r>
    <r>
      <rPr>
        <i val="true"/>
        <sz val="9"/>
        <color rgb="FF666666"/>
        <rFont val="Noto Sans CJK SC"/>
        <family val="2"/>
      </rPr>
      <t xml:space="preserve">는 포털 합계가 </t>
    </r>
    <r>
      <rPr>
        <i val="true"/>
        <sz val="9"/>
        <color rgb="FF666666"/>
        <rFont val="Arial"/>
        <family val="0"/>
        <charset val="1"/>
      </rPr>
      <t xml:space="preserve">KOSIS </t>
    </r>
    <r>
      <rPr>
        <i val="true"/>
        <sz val="9"/>
        <color rgb="FF666666"/>
        <rFont val="Noto Sans CJK SC"/>
        <family val="2"/>
      </rPr>
      <t xml:space="preserve">전국값과 정확히 일치함을 확인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</si>
  <si>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정원 충족률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현원 </t>
    </r>
    <r>
      <rPr>
        <b val="true"/>
        <sz val="12"/>
        <rFont val="Arial"/>
        <family val="0"/>
        <charset val="1"/>
      </rPr>
      <t xml:space="preserve">÷ </t>
    </r>
    <r>
      <rPr>
        <b val="true"/>
        <sz val="12"/>
        <rFont val="Noto Sans CJK SC"/>
        <family val="2"/>
      </rPr>
      <t xml:space="preserve">정원</t>
    </r>
  </si>
  <si>
    <r>
      <rPr>
        <i val="true"/>
        <sz val="9"/>
        <color rgb="FF666666"/>
        <rFont val="Noto Sans CJK SC"/>
        <family val="2"/>
      </rPr>
      <t xml:space="preserve">낮을수록 빈자리가 많음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시도 합계 기준 비율</t>
    </r>
    <r>
      <rPr>
        <i val="true"/>
        <sz val="9"/>
        <color rgb="FF666666"/>
        <rFont val="Arial"/>
        <family val="0"/>
        <charset val="1"/>
      </rPr>
      <t xml:space="preserve">. 2026</t>
    </r>
    <r>
      <rPr>
        <i val="true"/>
        <sz val="9"/>
        <color rgb="FF666666"/>
        <rFont val="Noto Sans CJK SC"/>
        <family val="2"/>
      </rPr>
      <t xml:space="preserve">은 정원이 없어 계산 안 함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</si>
  <si>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시도별 출생등록 수 </t>
    </r>
    <r>
      <rPr>
        <b val="true"/>
        <sz val="12"/>
        <rFont val="Arial"/>
        <family val="0"/>
        <charset val="1"/>
      </rPr>
      <t xml:space="preserve">(2008~2025)</t>
    </r>
  </si>
  <si>
    <r>
      <rPr>
        <i val="true"/>
        <sz val="9"/>
        <color rgb="FF666666"/>
        <rFont val="Noto Sans CJK SC"/>
        <family val="2"/>
      </rPr>
      <t xml:space="preserve">행정안전부 주민등록 출생등록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매년 말일 기준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강원도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강원특별자치도</t>
    </r>
    <r>
      <rPr>
        <i val="true"/>
        <sz val="9"/>
        <color rgb="FF666666"/>
        <rFont val="Arial"/>
        <family val="0"/>
        <charset val="1"/>
      </rPr>
      <t xml:space="preserve">(2023), </t>
    </r>
    <r>
      <rPr>
        <i val="true"/>
        <sz val="9"/>
        <color rgb="FF666666"/>
        <rFont val="Noto Sans CJK SC"/>
        <family val="2"/>
      </rPr>
      <t xml:space="preserve">전라북도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전북특별자치도</t>
    </r>
    <r>
      <rPr>
        <i val="true"/>
        <sz val="9"/>
        <color rgb="FF666666"/>
        <rFont val="Arial"/>
        <family val="0"/>
        <charset val="1"/>
      </rPr>
      <t xml:space="preserve">(2024) </t>
    </r>
    <r>
      <rPr>
        <i val="true"/>
        <sz val="9"/>
        <color rgb="FF666666"/>
        <rFont val="Noto Sans CJK SC"/>
        <family val="2"/>
      </rPr>
      <t xml:space="preserve">코드 분리분을 합침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통계청 출생통계와 다를 수 있음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</si>
  <si>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2008</t>
  </si>
  <si>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원자료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</si>
  <si>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시도별 소아청소년과 의원 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표시과목 기준</t>
    </r>
    <r>
      <rPr>
        <b val="true"/>
        <sz val="12"/>
        <rFont val="Arial"/>
        <family val="0"/>
        <charset val="1"/>
      </rPr>
      <t xml:space="preserve">, 2009~2026)</t>
    </r>
  </si>
  <si>
    <r>
      <rPr>
        <i val="true"/>
        <sz val="9"/>
        <color rgb="FF666666"/>
        <rFont val="Arial"/>
        <family val="0"/>
        <charset val="1"/>
      </rPr>
      <t xml:space="preserve">KOSIS </t>
    </r>
    <r>
      <rPr>
        <i val="true"/>
        <sz val="9"/>
        <color rgb="FF666666"/>
        <rFont val="Noto Sans CJK SC"/>
        <family val="2"/>
      </rPr>
      <t xml:space="preserve">「시군구별 표시과목별 의원 현황」</t>
    </r>
    <r>
      <rPr>
        <i val="true"/>
        <sz val="9"/>
        <color rgb="FF666666"/>
        <rFont val="Arial"/>
        <family val="0"/>
        <charset val="1"/>
      </rPr>
      <t xml:space="preserve">(DT_HIRA4G, </t>
    </r>
    <r>
      <rPr>
        <i val="true"/>
        <sz val="9"/>
        <color rgb="FF666666"/>
        <rFont val="Noto Sans CJK SC"/>
        <family val="2"/>
      </rPr>
      <t xml:space="preserve">건강보험공단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심평원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각 연도 </t>
    </r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, 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운영 중인 의원 수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재고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이며 개업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폐업 건수 아님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</si>
  <si>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2009.4/4</t>
  </si>
  <si>
    <t xml:space="preserve">2010.4/4</t>
  </si>
  <si>
    <t xml:space="preserve">2011.4/4</t>
  </si>
  <si>
    <t xml:space="preserve">2012.4/4</t>
  </si>
  <si>
    <t xml:space="preserve">2013.4/4</t>
  </si>
  <si>
    <t xml:space="preserve">2014.4/4</t>
  </si>
  <si>
    <t xml:space="preserve">2015.4/4</t>
  </si>
  <si>
    <t xml:space="preserve">2016.4/4</t>
  </si>
  <si>
    <t xml:space="preserve">2017.4/4</t>
  </si>
  <si>
    <t xml:space="preserve">2018.4/4</t>
  </si>
  <si>
    <t xml:space="preserve">2019.4/4</t>
  </si>
  <si>
    <t xml:space="preserve">2020.4/4</t>
  </si>
  <si>
    <t xml:space="preserve">2021.4/4</t>
  </si>
  <si>
    <t xml:space="preserve">2022.4/4</t>
  </si>
  <si>
    <t xml:space="preserve">2023.4/4</t>
  </si>
  <si>
    <t xml:space="preserve">2024.4/4</t>
  </si>
  <si>
    <t xml:space="preserve">2025.4/4</t>
  </si>
  <si>
    <t xml:space="preserve">2026.2/4</t>
  </si>
  <si>
    <t xml:space="preserve">전년 대비 증감</t>
  </si>
  <si>
    <t xml:space="preserve">항목</t>
  </si>
  <si>
    <t xml:space="preserve">내용</t>
  </si>
  <si>
    <t xml:space="preserve">어린이집 수</t>
  </si>
  <si>
    <r>
      <rPr>
        <sz val="10"/>
        <rFont val="Arial"/>
        <family val="0"/>
        <charset val="1"/>
      </rPr>
      <t xml:space="preserve">2009~2022: </t>
    </r>
    <r>
      <rPr>
        <sz val="10"/>
        <rFont val="Noto Sans CJK SC"/>
        <family val="2"/>
      </rPr>
      <t xml:space="preserve">어린이집정보공개포털 </t>
    </r>
    <r>
      <rPr>
        <sz val="10"/>
        <rFont val="Arial"/>
        <family val="0"/>
        <charset val="1"/>
      </rPr>
      <t xml:space="preserve">FILE </t>
    </r>
    <r>
      <rPr>
        <sz val="10"/>
        <rFont val="Noto Sans CJK SC"/>
        <family val="2"/>
      </rPr>
      <t xml:space="preserve">「어린이집 현황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이전 정리본과 동일</t>
    </r>
    <r>
      <rPr>
        <sz val="10"/>
        <rFont val="Arial"/>
        <family val="0"/>
        <charset val="1"/>
      </rPr>
      <t xml:space="preserve">). 2023~2025: KOSIS DT_15407_NN003 </t>
    </r>
    <r>
      <rPr>
        <sz val="10"/>
        <rFont val="Noto Sans CJK SC"/>
        <family val="2"/>
      </rPr>
      <t xml:space="preserve">「어린이집 현황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교육부</t>
    </r>
    <r>
      <rPr>
        <sz val="10"/>
        <rFont val="Arial"/>
        <family val="0"/>
        <charset val="1"/>
      </rPr>
      <t xml:space="preserve">, 12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이전 파일에서 합쳐져 있던 광주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전남을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값으로 분리함</t>
    </r>
    <r>
      <rPr>
        <sz val="10"/>
        <rFont val="Arial"/>
        <family val="0"/>
        <charset val="1"/>
      </rPr>
      <t xml:space="preserve">. 2026: </t>
    </r>
    <r>
      <rPr>
        <sz val="10"/>
        <rFont val="Noto Sans CJK SC"/>
        <family val="2"/>
      </rPr>
      <t xml:space="preserve">포털 「지역별 어린이집 현황」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정상 운영 시설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시군구 합산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</si>
  <si>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현원</t>
    </r>
  </si>
  <si>
    <r>
      <rPr>
        <sz val="10"/>
        <rFont val="Arial"/>
        <family val="0"/>
        <charset val="1"/>
      </rPr>
      <t xml:space="preserve">KOSIS DT_15407_NN004 </t>
    </r>
    <r>
      <rPr>
        <sz val="10"/>
        <rFont val="Noto Sans CJK SC"/>
        <family val="2"/>
      </rPr>
      <t xml:space="preserve">「전국 어린이집 정현원 현황」</t>
    </r>
    <r>
      <rPr>
        <sz val="10"/>
        <rFont val="Arial"/>
        <family val="0"/>
        <charset val="1"/>
      </rPr>
      <t xml:space="preserve">(2001~2025). </t>
    </r>
    <r>
      <rPr>
        <sz val="10"/>
        <rFont val="Noto Sans CJK SC"/>
        <family val="2"/>
      </rPr>
      <t xml:space="preserve">이전 파일의 </t>
    </r>
    <r>
      <rPr>
        <sz val="10"/>
        <rFont val="Arial"/>
        <family val="0"/>
        <charset val="1"/>
      </rPr>
      <t xml:space="preserve">2010~2022 </t>
    </r>
    <r>
      <rPr>
        <sz val="10"/>
        <rFont val="Noto Sans CJK SC"/>
        <family val="2"/>
      </rPr>
      <t xml:space="preserve">값과 전부 일치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경기 </t>
    </r>
    <r>
      <rPr>
        <sz val="10"/>
        <rFont val="Arial"/>
        <family val="0"/>
        <charset val="1"/>
      </rPr>
      <t xml:space="preserve">2018 </t>
    </r>
    <r>
      <rPr>
        <sz val="10"/>
        <rFont val="Noto Sans CJK SC"/>
        <family val="2"/>
      </rPr>
      <t xml:space="preserve">정원 </t>
    </r>
    <r>
      <rPr>
        <sz val="10"/>
        <rFont val="Arial"/>
        <family val="0"/>
        <charset val="1"/>
      </rPr>
      <t xml:space="preserve">467,296(</t>
    </r>
    <r>
      <rPr>
        <sz val="10"/>
        <rFont val="Noto Sans CJK SC"/>
        <family val="2"/>
      </rPr>
      <t xml:space="preserve">이전에 오타로 보고 고친 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도 </t>
    </r>
    <r>
      <rPr>
        <sz val="10"/>
        <rFont val="Arial"/>
        <family val="0"/>
        <charset val="1"/>
      </rPr>
      <t xml:space="preserve">KOSIS</t>
    </r>
    <r>
      <rPr>
        <sz val="10"/>
        <rFont val="Noto Sans CJK SC"/>
        <family val="2"/>
      </rPr>
      <t xml:space="preserve">와 일치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</si>
  <si>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현원</t>
    </r>
  </si>
  <si>
    <r>
      <rPr>
        <sz val="10"/>
        <rFont val="Noto Sans CJK SC"/>
        <family val="2"/>
      </rPr>
      <t xml:space="preserve">포털 「연령별 아동 현황」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포털 화면에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교육부 통계와 상이할 수 있음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안내가 있으나</t>
    </r>
    <r>
      <rPr>
        <sz val="10"/>
        <rFont val="Arial"/>
        <family val="0"/>
        <charset val="1"/>
      </rPr>
      <t xml:space="preserve">, 2021~2025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합계가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전국값과 정확히 같아 같은 원천으로 판단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</si>
  <si>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정원</t>
    </r>
  </si>
  <si>
    <r>
      <rPr>
        <sz val="10"/>
        <rFont val="Noto Sans CJK SC"/>
        <family val="2"/>
      </rPr>
      <t xml:space="preserve">공개된 표에서 정원 총합을 찾지 못함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포털 「아동정원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현원 어린이집 현황」은 정원 규모별 시설 수만 제공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시설별 정원은 「어린이집 기본정보」 </t>
    </r>
    <r>
      <rPr>
        <sz val="10"/>
        <rFont val="Arial"/>
        <family val="0"/>
        <charset val="1"/>
      </rPr>
      <t xml:space="preserve">OPEN API(</t>
    </r>
    <r>
      <rPr>
        <sz val="10"/>
        <rFont val="Noto Sans CJK SC"/>
        <family val="2"/>
      </rPr>
      <t xml:space="preserve">인증키 필요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합산 가능</t>
    </r>
    <r>
      <rPr>
        <sz val="10"/>
        <rFont val="Arial"/>
        <family val="0"/>
        <charset val="1"/>
      </rPr>
      <t xml:space="preserve">.</t>
    </r>
  </si>
  <si>
    <t xml:space="preserve">출생등록</t>
  </si>
  <si>
    <r>
      <rPr>
        <sz val="10"/>
        <rFont val="Noto Sans CJK SC"/>
        <family val="2"/>
      </rPr>
      <t xml:space="preserve">행정안전부 주민등록 출생등록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사용자 제공 파일</t>
    </r>
    <r>
      <rPr>
        <sz val="10"/>
        <rFont val="Arial"/>
        <family val="0"/>
        <charset val="1"/>
      </rPr>
      <t xml:space="preserve">, 2008~2025). </t>
    </r>
    <r>
      <rPr>
        <sz val="10"/>
        <rFont val="Noto Sans CJK SC"/>
        <family val="2"/>
      </rPr>
      <t xml:space="preserve">시도 합계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전국 매년 일치</t>
    </r>
    <r>
      <rPr>
        <sz val="10"/>
        <rFont val="Arial"/>
        <family val="0"/>
        <charset val="1"/>
      </rPr>
      <t xml:space="preserve">. 2008~2013 </t>
    </r>
    <r>
      <rPr>
        <sz val="10"/>
        <rFont val="Noto Sans CJK SC"/>
        <family val="2"/>
      </rPr>
      <t xml:space="preserve">남녀 구분 값은 비어 있어 제외</t>
    </r>
    <r>
      <rPr>
        <sz val="10"/>
        <rFont val="Arial"/>
        <family val="0"/>
        <charset val="1"/>
      </rPr>
      <t xml:space="preserve">.</t>
    </r>
  </si>
  <si>
    <t xml:space="preserve">소아청소년과 의원</t>
  </si>
  <si>
    <r>
      <rPr>
        <sz val="10"/>
        <rFont val="Arial"/>
        <family val="0"/>
        <charset val="1"/>
      </rPr>
      <t xml:space="preserve">KOSIS DT_HIRA4G </t>
    </r>
    <r>
      <rPr>
        <sz val="10"/>
        <rFont val="Noto Sans CJK SC"/>
        <family val="2"/>
      </rPr>
      <t xml:space="preserve">표시과목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소아청소년과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이전 「소아 관련 의료기관 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폐업」 파일을 대체함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파일은 진료과목에 소아청소년과가 포함된 모든 기관을 세어 실제보다 수 배 많았음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개업 </t>
    </r>
    <r>
      <rPr>
        <sz val="10"/>
        <rFont val="Arial"/>
        <family val="0"/>
        <charset val="1"/>
      </rPr>
      <t xml:space="preserve">370 vs </t>
    </r>
    <r>
      <rPr>
        <sz val="10"/>
        <rFont val="Noto Sans CJK SC"/>
        <family val="2"/>
      </rPr>
      <t xml:space="preserve">심평원 </t>
    </r>
    <r>
      <rPr>
        <sz val="10"/>
        <rFont val="Arial"/>
        <family val="0"/>
        <charset val="1"/>
      </rPr>
      <t xml:space="preserve">59). </t>
    </r>
    <r>
      <rPr>
        <sz val="10"/>
        <rFont val="Noto Sans CJK SC"/>
        <family val="2"/>
      </rPr>
      <t xml:space="preserve">이 표의 </t>
    </r>
    <r>
      <rPr>
        <sz val="10"/>
        <rFont val="Arial"/>
        <family val="0"/>
        <charset val="1"/>
      </rPr>
      <t xml:space="preserve">2024→2025 </t>
    </r>
    <r>
      <rPr>
        <sz val="10"/>
        <rFont val="Noto Sans CJK SC"/>
        <family val="2"/>
      </rPr>
      <t xml:space="preserve">순감</t>
    </r>
    <r>
      <rPr>
        <sz val="10"/>
        <rFont val="Arial"/>
        <family val="0"/>
        <charset val="1"/>
      </rPr>
      <t xml:space="preserve">(-31)</t>
    </r>
    <r>
      <rPr>
        <sz val="10"/>
        <rFont val="Noto Sans CJK SC"/>
        <family val="2"/>
      </rPr>
      <t xml:space="preserve">은 심평원 발표 순감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개업 </t>
    </r>
    <r>
      <rPr>
        <sz val="10"/>
        <rFont val="Arial"/>
        <family val="0"/>
        <charset val="1"/>
      </rPr>
      <t xml:space="preserve">59-</t>
    </r>
    <r>
      <rPr>
        <sz val="10"/>
        <rFont val="Noto Sans CJK SC"/>
        <family val="2"/>
      </rPr>
      <t xml:space="preserve">폐업 </t>
    </r>
    <r>
      <rPr>
        <sz val="10"/>
        <rFont val="Arial"/>
        <family val="0"/>
        <charset val="1"/>
      </rPr>
      <t xml:space="preserve">89=-30)</t>
    </r>
    <r>
      <rPr>
        <sz val="10"/>
        <rFont val="Noto Sans CJK SC"/>
        <family val="2"/>
      </rPr>
      <t xml:space="preserve">과 거의 일치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</si>
  <si>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값</t>
    </r>
  </si>
  <si>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소아과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분기 말로 연말 값이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연도 비교에는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까지 권장</t>
    </r>
    <r>
      <rPr>
        <sz val="10"/>
        <rFont val="Arial"/>
        <family val="0"/>
        <charset val="1"/>
      </rPr>
      <t xml:space="preserve">.</t>
    </r>
  </si>
  <si>
    <t xml:space="preserve">시군구 자료</t>
  </si>
  <si>
    <r>
      <rPr>
        <sz val="10"/>
        <rFont val="Noto Sans CJK SC"/>
        <family val="2"/>
      </rPr>
      <t xml:space="preserve">같은 출처의 시군구 단위 값은 「시군구별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어린이집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소아과</t>
    </r>
    <r>
      <rPr>
        <sz val="10"/>
        <rFont val="Arial"/>
        <family val="0"/>
        <charset val="1"/>
      </rPr>
      <t xml:space="preserve">_2009-2026.xlsx</t>
    </r>
    <r>
      <rPr>
        <sz val="10"/>
        <rFont val="Noto Sans CJK SC"/>
        <family val="2"/>
      </rPr>
      <t xml:space="preserve">」에 있음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</si>
</sst>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-#,##0;0"/>
    <numFmt numFmtId="167" formatCode="0.0%"/>
    <numFmt numFmtId="168" formatCode="\+#,##0;\-#,##0;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6F0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9" min="2" style="0" width="11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5" hidden="false" customHeight="false" outlineLevel="0" collapsed="false">
      <c r="A5" s="5" t="s">
        <v>21</v>
      </c>
      <c r="B5" s="6" t="n">
        <v>5684</v>
      </c>
      <c r="C5" s="6" t="n">
        <v>5870</v>
      </c>
      <c r="D5" s="6" t="n">
        <v>6105</v>
      </c>
      <c r="E5" s="6" t="n">
        <v>6538</v>
      </c>
      <c r="F5" s="6" t="n">
        <v>6742</v>
      </c>
      <c r="G5" s="6" t="n">
        <v>6787</v>
      </c>
      <c r="H5" s="6" t="n">
        <v>6598</v>
      </c>
      <c r="I5" s="6" t="n">
        <v>6368</v>
      </c>
      <c r="J5" s="6" t="n">
        <v>6226</v>
      </c>
      <c r="K5" s="6" t="n">
        <v>6008</v>
      </c>
      <c r="L5" s="6" t="n">
        <v>5698</v>
      </c>
      <c r="M5" s="6" t="n">
        <v>5370</v>
      </c>
      <c r="N5" s="6" t="n">
        <v>5049</v>
      </c>
      <c r="O5" s="6" t="n">
        <v>4712</v>
      </c>
      <c r="P5" s="6" t="n">
        <v>4431</v>
      </c>
      <c r="Q5" s="6" t="n">
        <v>4212</v>
      </c>
      <c r="R5" s="6" t="n">
        <v>4010</v>
      </c>
      <c r="S5" s="7" t="n">
        <v>3875</v>
      </c>
    </row>
    <row r="6" customFormat="false" ht="15" hidden="false" customHeight="false" outlineLevel="0" collapsed="false">
      <c r="A6" s="5" t="s">
        <v>22</v>
      </c>
      <c r="B6" s="6" t="n">
        <v>1655</v>
      </c>
      <c r="C6" s="6" t="n">
        <v>1689</v>
      </c>
      <c r="D6" s="6" t="n">
        <v>1740</v>
      </c>
      <c r="E6" s="6" t="n">
        <v>1830</v>
      </c>
      <c r="F6" s="6" t="n">
        <v>1897</v>
      </c>
      <c r="G6" s="6" t="n">
        <v>1957</v>
      </c>
      <c r="H6" s="6" t="n">
        <v>1971</v>
      </c>
      <c r="I6" s="6" t="n">
        <v>1937</v>
      </c>
      <c r="J6" s="6" t="n">
        <v>1920</v>
      </c>
      <c r="K6" s="6" t="n">
        <v>1891</v>
      </c>
      <c r="L6" s="6" t="n">
        <v>1848</v>
      </c>
      <c r="M6" s="6" t="n">
        <v>1778</v>
      </c>
      <c r="N6" s="6" t="n">
        <v>1668</v>
      </c>
      <c r="O6" s="6" t="n">
        <v>1547</v>
      </c>
      <c r="P6" s="6" t="n">
        <v>1447</v>
      </c>
      <c r="Q6" s="6" t="n">
        <v>1354</v>
      </c>
      <c r="R6" s="6" t="n">
        <v>1278</v>
      </c>
      <c r="S6" s="7" t="n">
        <v>1218</v>
      </c>
    </row>
    <row r="7" customFormat="false" ht="15" hidden="false" customHeight="false" outlineLevel="0" collapsed="false">
      <c r="A7" s="5" t="s">
        <v>23</v>
      </c>
      <c r="B7" s="6" t="n">
        <v>1500</v>
      </c>
      <c r="C7" s="6" t="n">
        <v>1544</v>
      </c>
      <c r="D7" s="6" t="n">
        <v>1561</v>
      </c>
      <c r="E7" s="6" t="n">
        <v>1580</v>
      </c>
      <c r="F7" s="6" t="n">
        <v>1590</v>
      </c>
      <c r="G7" s="6" t="n">
        <v>1588</v>
      </c>
      <c r="H7" s="6" t="n">
        <v>1539</v>
      </c>
      <c r="I7" s="6" t="n">
        <v>1483</v>
      </c>
      <c r="J7" s="6" t="n">
        <v>1464</v>
      </c>
      <c r="K7" s="6" t="n">
        <v>1405</v>
      </c>
      <c r="L7" s="6" t="n">
        <v>1322</v>
      </c>
      <c r="M7" s="6" t="n">
        <v>1268</v>
      </c>
      <c r="N7" s="6" t="n">
        <v>1187</v>
      </c>
      <c r="O7" s="6" t="n">
        <v>1139</v>
      </c>
      <c r="P7" s="6" t="n">
        <v>1079</v>
      </c>
      <c r="Q7" s="6" t="n">
        <v>1035</v>
      </c>
      <c r="R7" s="6" t="n">
        <v>992</v>
      </c>
      <c r="S7" s="7" t="n">
        <v>965</v>
      </c>
    </row>
    <row r="8" customFormat="false" ht="15" hidden="false" customHeight="false" outlineLevel="0" collapsed="false">
      <c r="A8" s="5" t="s">
        <v>24</v>
      </c>
      <c r="B8" s="6" t="n">
        <v>1773</v>
      </c>
      <c r="C8" s="6" t="n">
        <v>1857</v>
      </c>
      <c r="D8" s="6" t="n">
        <v>1998</v>
      </c>
      <c r="E8" s="6" t="n">
        <v>2181</v>
      </c>
      <c r="F8" s="6" t="n">
        <v>2263</v>
      </c>
      <c r="G8" s="6" t="n">
        <v>2308</v>
      </c>
      <c r="H8" s="6" t="n">
        <v>2278</v>
      </c>
      <c r="I8" s="6" t="n">
        <v>2231</v>
      </c>
      <c r="J8" s="6" t="n">
        <v>2186</v>
      </c>
      <c r="K8" s="6" t="n">
        <v>2141</v>
      </c>
      <c r="L8" s="6" t="n">
        <v>2049</v>
      </c>
      <c r="M8" s="6" t="n">
        <v>1943</v>
      </c>
      <c r="N8" s="6" t="n">
        <v>1803</v>
      </c>
      <c r="O8" s="6" t="n">
        <v>1697</v>
      </c>
      <c r="P8" s="6" t="n">
        <v>1652</v>
      </c>
      <c r="Q8" s="6" t="n">
        <v>1613</v>
      </c>
      <c r="R8" s="6" t="n">
        <v>1556</v>
      </c>
      <c r="S8" s="7" t="n">
        <v>1530</v>
      </c>
    </row>
    <row r="9" customFormat="false" ht="15" hidden="false" customHeight="false" outlineLevel="0" collapsed="false">
      <c r="A9" s="5" t="s">
        <v>25</v>
      </c>
      <c r="B9" s="6" t="n">
        <v>1153</v>
      </c>
      <c r="C9" s="6" t="n">
        <v>1192</v>
      </c>
      <c r="D9" s="6" t="n">
        <v>1205</v>
      </c>
      <c r="E9" s="6" t="n">
        <v>1239</v>
      </c>
      <c r="F9" s="6" t="n">
        <v>1251</v>
      </c>
      <c r="G9" s="6" t="n">
        <v>1260</v>
      </c>
      <c r="H9" s="6" t="n">
        <v>1264</v>
      </c>
      <c r="I9" s="6" t="n">
        <v>1238</v>
      </c>
      <c r="J9" s="6" t="n">
        <v>1240</v>
      </c>
      <c r="K9" s="6" t="n">
        <v>1195</v>
      </c>
      <c r="L9" s="6" t="n">
        <v>1122</v>
      </c>
      <c r="M9" s="6" t="n">
        <v>1072</v>
      </c>
      <c r="N9" s="6" t="n">
        <v>1002</v>
      </c>
      <c r="O9" s="6" t="n">
        <v>940</v>
      </c>
      <c r="P9" s="6" t="n">
        <v>878</v>
      </c>
      <c r="Q9" s="6" t="n">
        <v>828</v>
      </c>
      <c r="R9" s="6" t="n">
        <v>785</v>
      </c>
      <c r="S9" s="7" t="n">
        <v>735</v>
      </c>
    </row>
    <row r="10" customFormat="false" ht="15" hidden="false" customHeight="false" outlineLevel="0" collapsed="false">
      <c r="A10" s="5" t="s">
        <v>26</v>
      </c>
      <c r="B10" s="6" t="n">
        <v>1417</v>
      </c>
      <c r="C10" s="6" t="n">
        <v>1535</v>
      </c>
      <c r="D10" s="6" t="n">
        <v>1599</v>
      </c>
      <c r="E10" s="6" t="n">
        <v>1659</v>
      </c>
      <c r="F10" s="6" t="n">
        <v>1680</v>
      </c>
      <c r="G10" s="6" t="n">
        <v>1698</v>
      </c>
      <c r="H10" s="6" t="n">
        <v>1669</v>
      </c>
      <c r="I10" s="6" t="n">
        <v>1584</v>
      </c>
      <c r="J10" s="6" t="n">
        <v>1505</v>
      </c>
      <c r="K10" s="6" t="n">
        <v>1406</v>
      </c>
      <c r="L10" s="6" t="n">
        <v>1288</v>
      </c>
      <c r="M10" s="6" t="n">
        <v>1185</v>
      </c>
      <c r="N10" s="6" t="n">
        <v>1101</v>
      </c>
      <c r="O10" s="6" t="n">
        <v>1013</v>
      </c>
      <c r="P10" s="6" t="n">
        <v>916</v>
      </c>
      <c r="Q10" s="6" t="n">
        <v>864</v>
      </c>
      <c r="R10" s="6" t="n">
        <v>826</v>
      </c>
      <c r="S10" s="7" t="n">
        <v>792</v>
      </c>
    </row>
    <row r="11" customFormat="false" ht="15" hidden="false" customHeight="false" outlineLevel="0" collapsed="false">
      <c r="A11" s="5" t="s">
        <v>27</v>
      </c>
      <c r="B11" s="6" t="n">
        <v>660</v>
      </c>
      <c r="C11" s="6" t="n">
        <v>754</v>
      </c>
      <c r="D11" s="6" t="n">
        <v>818</v>
      </c>
      <c r="E11" s="6" t="n">
        <v>893</v>
      </c>
      <c r="F11" s="6" t="n">
        <v>933</v>
      </c>
      <c r="G11" s="6" t="n">
        <v>946</v>
      </c>
      <c r="H11" s="6" t="n">
        <v>934</v>
      </c>
      <c r="I11" s="6" t="n">
        <v>895</v>
      </c>
      <c r="J11" s="6" t="n">
        <v>881</v>
      </c>
      <c r="K11" s="6" t="n">
        <v>868</v>
      </c>
      <c r="L11" s="6" t="n">
        <v>842</v>
      </c>
      <c r="M11" s="6" t="n">
        <v>790</v>
      </c>
      <c r="N11" s="6" t="n">
        <v>720</v>
      </c>
      <c r="O11" s="6" t="n">
        <v>656</v>
      </c>
      <c r="P11" s="6" t="n">
        <v>612</v>
      </c>
      <c r="Q11" s="6" t="n">
        <v>569</v>
      </c>
      <c r="R11" s="6" t="n">
        <v>535</v>
      </c>
      <c r="S11" s="7" t="n">
        <v>512</v>
      </c>
    </row>
    <row r="12" customFormat="false" ht="15" hidden="false" customHeight="false" outlineLevel="0" collapsed="false">
      <c r="A12" s="5" t="s">
        <v>28</v>
      </c>
      <c r="B12" s="6" t="n">
        <v>0</v>
      </c>
      <c r="C12" s="6" t="n">
        <v>0</v>
      </c>
      <c r="D12" s="6" t="n">
        <v>0</v>
      </c>
      <c r="E12" s="6" t="n">
        <v>106</v>
      </c>
      <c r="F12" s="6" t="n">
        <v>118</v>
      </c>
      <c r="G12" s="6" t="n">
        <v>160</v>
      </c>
      <c r="H12" s="6" t="n">
        <v>216</v>
      </c>
      <c r="I12" s="6" t="n">
        <v>250</v>
      </c>
      <c r="J12" s="6" t="n">
        <v>289</v>
      </c>
      <c r="K12" s="6" t="n">
        <v>343</v>
      </c>
      <c r="L12" s="6" t="n">
        <v>359</v>
      </c>
      <c r="M12" s="6" t="n">
        <v>350</v>
      </c>
      <c r="N12" s="6" t="n">
        <v>343</v>
      </c>
      <c r="O12" s="6" t="n">
        <v>327</v>
      </c>
      <c r="P12" s="6" t="n">
        <v>314</v>
      </c>
      <c r="Q12" s="6" t="n">
        <v>305</v>
      </c>
      <c r="R12" s="6" t="n">
        <v>286</v>
      </c>
      <c r="S12" s="7" t="n">
        <v>269</v>
      </c>
    </row>
    <row r="13" customFormat="false" ht="15" hidden="false" customHeight="false" outlineLevel="0" collapsed="false">
      <c r="A13" s="5" t="s">
        <v>29</v>
      </c>
      <c r="B13" s="6" t="n">
        <v>10465</v>
      </c>
      <c r="C13" s="6" t="n">
        <v>11273</v>
      </c>
      <c r="D13" s="6" t="n">
        <v>11825</v>
      </c>
      <c r="E13" s="6" t="n">
        <v>12869</v>
      </c>
      <c r="F13" s="6" t="n">
        <v>13364</v>
      </c>
      <c r="G13" s="6" t="n">
        <v>13259</v>
      </c>
      <c r="H13" s="6" t="n">
        <v>12689</v>
      </c>
      <c r="I13" s="6" t="n">
        <v>12120</v>
      </c>
      <c r="J13" s="6" t="n">
        <v>11825</v>
      </c>
      <c r="K13" s="6" t="n">
        <v>11682</v>
      </c>
      <c r="L13" s="6" t="n">
        <v>11305</v>
      </c>
      <c r="M13" s="6" t="n">
        <v>10761</v>
      </c>
      <c r="N13" s="6" t="n">
        <v>10136</v>
      </c>
      <c r="O13" s="6" t="n">
        <v>9438</v>
      </c>
      <c r="P13" s="6" t="n">
        <v>8903</v>
      </c>
      <c r="Q13" s="6" t="n">
        <v>8407</v>
      </c>
      <c r="R13" s="6" t="n">
        <v>8030</v>
      </c>
      <c r="S13" s="7" t="n">
        <v>7774</v>
      </c>
    </row>
    <row r="14" customFormat="false" ht="15" hidden="false" customHeight="false" outlineLevel="0" collapsed="false">
      <c r="A14" s="5" t="s">
        <v>30</v>
      </c>
      <c r="B14" s="6" t="n">
        <v>926</v>
      </c>
      <c r="C14" s="6" t="n">
        <v>1085</v>
      </c>
      <c r="D14" s="6" t="n">
        <v>1147</v>
      </c>
      <c r="E14" s="6" t="n">
        <v>1244</v>
      </c>
      <c r="F14" s="6" t="n">
        <v>1265</v>
      </c>
      <c r="G14" s="6" t="n">
        <v>1257</v>
      </c>
      <c r="H14" s="6" t="n">
        <v>1227</v>
      </c>
      <c r="I14" s="6" t="n">
        <v>1180</v>
      </c>
      <c r="J14" s="6" t="n">
        <v>1149</v>
      </c>
      <c r="K14" s="6" t="n">
        <v>1086</v>
      </c>
      <c r="L14" s="6" t="n">
        <v>1036</v>
      </c>
      <c r="M14" s="6" t="n">
        <v>999</v>
      </c>
      <c r="N14" s="6" t="n">
        <v>954</v>
      </c>
      <c r="O14" s="6" t="n">
        <v>906</v>
      </c>
      <c r="P14" s="6" t="n">
        <v>847</v>
      </c>
      <c r="Q14" s="6" t="n">
        <v>816</v>
      </c>
      <c r="R14" s="6" t="n">
        <v>779</v>
      </c>
      <c r="S14" s="7" t="n">
        <v>748</v>
      </c>
    </row>
    <row r="15" customFormat="false" ht="15" hidden="false" customHeight="false" outlineLevel="0" collapsed="false">
      <c r="A15" s="5" t="s">
        <v>31</v>
      </c>
      <c r="B15" s="6" t="n">
        <v>1037</v>
      </c>
      <c r="C15" s="6" t="n">
        <v>1112</v>
      </c>
      <c r="D15" s="6" t="n">
        <v>1133</v>
      </c>
      <c r="E15" s="6" t="n">
        <v>1179</v>
      </c>
      <c r="F15" s="6" t="n">
        <v>1212</v>
      </c>
      <c r="G15" s="6" t="n">
        <v>1229</v>
      </c>
      <c r="H15" s="6" t="n">
        <v>1230</v>
      </c>
      <c r="I15" s="6" t="n">
        <v>1208</v>
      </c>
      <c r="J15" s="6" t="n">
        <v>1186</v>
      </c>
      <c r="K15" s="6" t="n">
        <v>1157</v>
      </c>
      <c r="L15" s="6" t="n">
        <v>1130</v>
      </c>
      <c r="M15" s="6" t="n">
        <v>1082</v>
      </c>
      <c r="N15" s="6" t="n">
        <v>1042</v>
      </c>
      <c r="O15" s="6" t="n">
        <v>972</v>
      </c>
      <c r="P15" s="6" t="n">
        <v>921</v>
      </c>
      <c r="Q15" s="6" t="n">
        <v>877</v>
      </c>
      <c r="R15" s="6" t="n">
        <v>837</v>
      </c>
      <c r="S15" s="7" t="n">
        <v>800</v>
      </c>
    </row>
    <row r="16" customFormat="false" ht="15" hidden="false" customHeight="false" outlineLevel="0" collapsed="false">
      <c r="A16" s="5" t="s">
        <v>32</v>
      </c>
      <c r="B16" s="6" t="n">
        <v>1470</v>
      </c>
      <c r="C16" s="6" t="n">
        <v>1687</v>
      </c>
      <c r="D16" s="6" t="n">
        <v>1857</v>
      </c>
      <c r="E16" s="6" t="n">
        <v>1991</v>
      </c>
      <c r="F16" s="6" t="n">
        <v>2083</v>
      </c>
      <c r="G16" s="6" t="n">
        <v>2053</v>
      </c>
      <c r="H16" s="6" t="n">
        <v>1988</v>
      </c>
      <c r="I16" s="6" t="n">
        <v>1974</v>
      </c>
      <c r="J16" s="6" t="n">
        <v>1955</v>
      </c>
      <c r="K16" s="6" t="n">
        <v>1916</v>
      </c>
      <c r="L16" s="6" t="n">
        <v>1812</v>
      </c>
      <c r="M16" s="6" t="n">
        <v>1717</v>
      </c>
      <c r="N16" s="6" t="n">
        <v>1625</v>
      </c>
      <c r="O16" s="6" t="n">
        <v>1516</v>
      </c>
      <c r="P16" s="6" t="n">
        <v>1421</v>
      </c>
      <c r="Q16" s="6" t="n">
        <v>1338</v>
      </c>
      <c r="R16" s="6" t="n">
        <v>1272</v>
      </c>
      <c r="S16" s="7" t="n">
        <v>1204</v>
      </c>
    </row>
    <row r="17" customFormat="false" ht="15" hidden="false" customHeight="false" outlineLevel="0" collapsed="false">
      <c r="A17" s="5" t="s">
        <v>33</v>
      </c>
      <c r="B17" s="6" t="n">
        <v>1506</v>
      </c>
      <c r="C17" s="6" t="n">
        <v>1531</v>
      </c>
      <c r="D17" s="6" t="n">
        <v>1580</v>
      </c>
      <c r="E17" s="6" t="n">
        <v>1620</v>
      </c>
      <c r="F17" s="6" t="n">
        <v>1647</v>
      </c>
      <c r="G17" s="6" t="n">
        <v>1654</v>
      </c>
      <c r="H17" s="6" t="n">
        <v>1623</v>
      </c>
      <c r="I17" s="6" t="n">
        <v>1562</v>
      </c>
      <c r="J17" s="6" t="n">
        <v>1497</v>
      </c>
      <c r="K17" s="6" t="n">
        <v>1397</v>
      </c>
      <c r="L17" s="6" t="n">
        <v>1288</v>
      </c>
      <c r="M17" s="6" t="n">
        <v>1195</v>
      </c>
      <c r="N17" s="6" t="n">
        <v>1115</v>
      </c>
      <c r="O17" s="6" t="n">
        <v>1024</v>
      </c>
      <c r="P17" s="6" t="n">
        <v>944</v>
      </c>
      <c r="Q17" s="6" t="n">
        <v>902</v>
      </c>
      <c r="R17" s="6" t="n">
        <v>856</v>
      </c>
      <c r="S17" s="7" t="n">
        <v>832</v>
      </c>
    </row>
    <row r="18" customFormat="false" ht="15" hidden="false" customHeight="false" outlineLevel="0" collapsed="false">
      <c r="A18" s="5" t="s">
        <v>34</v>
      </c>
      <c r="B18" s="6" t="n">
        <v>1114</v>
      </c>
      <c r="C18" s="6" t="n">
        <v>1135</v>
      </c>
      <c r="D18" s="6" t="n">
        <v>1161</v>
      </c>
      <c r="E18" s="6" t="n">
        <v>1188</v>
      </c>
      <c r="F18" s="6" t="n">
        <v>1222</v>
      </c>
      <c r="G18" s="6" t="n">
        <v>1242</v>
      </c>
      <c r="H18" s="6" t="n">
        <v>1238</v>
      </c>
      <c r="I18" s="6" t="n">
        <v>1251</v>
      </c>
      <c r="J18" s="6" t="n">
        <v>1241</v>
      </c>
      <c r="K18" s="6" t="n">
        <v>1205</v>
      </c>
      <c r="L18" s="6" t="n">
        <v>1147</v>
      </c>
      <c r="M18" s="6" t="n">
        <v>1084</v>
      </c>
      <c r="N18" s="6" t="n">
        <v>1051</v>
      </c>
      <c r="O18" s="6" t="n">
        <v>999</v>
      </c>
      <c r="P18" s="6" t="n">
        <v>952</v>
      </c>
      <c r="Q18" s="6" t="n">
        <v>911</v>
      </c>
      <c r="R18" s="6" t="n">
        <v>869</v>
      </c>
      <c r="S18" s="7" t="n">
        <v>833</v>
      </c>
    </row>
    <row r="19" customFormat="false" ht="15" hidden="false" customHeight="false" outlineLevel="0" collapsed="false">
      <c r="A19" s="5" t="s">
        <v>35</v>
      </c>
      <c r="B19" s="6" t="n">
        <v>1827</v>
      </c>
      <c r="C19" s="6" t="n">
        <v>1998</v>
      </c>
      <c r="D19" s="6" t="n">
        <v>2162</v>
      </c>
      <c r="E19" s="6" t="n">
        <v>2264</v>
      </c>
      <c r="F19" s="6" t="n">
        <v>2273</v>
      </c>
      <c r="G19" s="6" t="n">
        <v>2212</v>
      </c>
      <c r="H19" s="6" t="n">
        <v>2130</v>
      </c>
      <c r="I19" s="6" t="n">
        <v>2102</v>
      </c>
      <c r="J19" s="6" t="n">
        <v>2063</v>
      </c>
      <c r="K19" s="6" t="n">
        <v>1976</v>
      </c>
      <c r="L19" s="6" t="n">
        <v>1844</v>
      </c>
      <c r="M19" s="6" t="n">
        <v>1725</v>
      </c>
      <c r="N19" s="6" t="n">
        <v>1617</v>
      </c>
      <c r="O19" s="6" t="n">
        <v>1463</v>
      </c>
      <c r="P19" s="6" t="n">
        <v>1310</v>
      </c>
      <c r="Q19" s="6" t="n">
        <v>1234</v>
      </c>
      <c r="R19" s="6" t="n">
        <v>1162</v>
      </c>
      <c r="S19" s="7" t="n">
        <v>1095</v>
      </c>
    </row>
    <row r="20" customFormat="false" ht="15" hidden="false" customHeight="false" outlineLevel="0" collapsed="false">
      <c r="A20" s="5" t="s">
        <v>36</v>
      </c>
      <c r="B20" s="6" t="n">
        <v>2861</v>
      </c>
      <c r="C20" s="6" t="n">
        <v>3234</v>
      </c>
      <c r="D20" s="6" t="n">
        <v>3399</v>
      </c>
      <c r="E20" s="6" t="n">
        <v>3562</v>
      </c>
      <c r="F20" s="6" t="n">
        <v>3626</v>
      </c>
      <c r="G20" s="6" t="n">
        <v>3533</v>
      </c>
      <c r="H20" s="6" t="n">
        <v>3349</v>
      </c>
      <c r="I20" s="6" t="n">
        <v>3158</v>
      </c>
      <c r="J20" s="6" t="n">
        <v>3084</v>
      </c>
      <c r="K20" s="6" t="n">
        <v>2982</v>
      </c>
      <c r="L20" s="6" t="n">
        <v>2777</v>
      </c>
      <c r="M20" s="6" t="n">
        <v>2544</v>
      </c>
      <c r="N20" s="6" t="n">
        <v>2357</v>
      </c>
      <c r="O20" s="6" t="n">
        <v>2123</v>
      </c>
      <c r="P20" s="6" t="n">
        <v>1904</v>
      </c>
      <c r="Q20" s="6" t="n">
        <v>1723</v>
      </c>
      <c r="R20" s="6" t="n">
        <v>1613</v>
      </c>
      <c r="S20" s="7" t="n">
        <v>1500</v>
      </c>
    </row>
    <row r="21" customFormat="false" ht="15" hidden="false" customHeight="false" outlineLevel="0" collapsed="false">
      <c r="A21" s="5" t="s">
        <v>37</v>
      </c>
      <c r="B21" s="6" t="n">
        <v>502</v>
      </c>
      <c r="C21" s="6" t="n">
        <v>525</v>
      </c>
      <c r="D21" s="6" t="n">
        <v>552</v>
      </c>
      <c r="E21" s="6" t="n">
        <v>584</v>
      </c>
      <c r="F21" s="6" t="n">
        <v>604</v>
      </c>
      <c r="G21" s="6" t="n">
        <v>599</v>
      </c>
      <c r="H21" s="6" t="n">
        <v>574</v>
      </c>
      <c r="I21" s="6" t="n">
        <v>543</v>
      </c>
      <c r="J21" s="6" t="n">
        <v>527</v>
      </c>
      <c r="K21" s="6" t="n">
        <v>513</v>
      </c>
      <c r="L21" s="6" t="n">
        <v>504</v>
      </c>
      <c r="M21" s="6" t="n">
        <v>489</v>
      </c>
      <c r="N21" s="6" t="n">
        <v>476</v>
      </c>
      <c r="O21" s="6" t="n">
        <v>451</v>
      </c>
      <c r="P21" s="6" t="n">
        <v>423</v>
      </c>
      <c r="Q21" s="6" t="n">
        <v>399</v>
      </c>
      <c r="R21" s="6" t="n">
        <v>378</v>
      </c>
      <c r="S21" s="7" t="n">
        <v>365</v>
      </c>
    </row>
    <row r="22" customFormat="false" ht="15" hidden="false" customHeight="false" outlineLevel="0" collapsed="false">
      <c r="A22" s="8" t="s">
        <v>38</v>
      </c>
      <c r="B22" s="9" t="n">
        <f aca="false">SUM(B5:B21)</f>
        <v>35550</v>
      </c>
      <c r="C22" s="9" t="n">
        <f aca="false">SUM(C5:C21)</f>
        <v>38021</v>
      </c>
      <c r="D22" s="9" t="n">
        <f aca="false">SUM(D5:D21)</f>
        <v>39842</v>
      </c>
      <c r="E22" s="9" t="n">
        <f aca="false">SUM(E5:E21)</f>
        <v>42527</v>
      </c>
      <c r="F22" s="9" t="n">
        <f aca="false">SUM(F5:F21)</f>
        <v>43770</v>
      </c>
      <c r="G22" s="9" t="n">
        <f aca="false">SUM(G5:G21)</f>
        <v>43742</v>
      </c>
      <c r="H22" s="9" t="n">
        <f aca="false">SUM(H5:H21)</f>
        <v>42517</v>
      </c>
      <c r="I22" s="9" t="n">
        <f aca="false">SUM(I5:I21)</f>
        <v>41084</v>
      </c>
      <c r="J22" s="9" t="n">
        <f aca="false">SUM(J5:J21)</f>
        <v>40238</v>
      </c>
      <c r="K22" s="9" t="n">
        <f aca="false">SUM(K5:K21)</f>
        <v>39171</v>
      </c>
      <c r="L22" s="9" t="n">
        <f aca="false">SUM(L5:L21)</f>
        <v>37371</v>
      </c>
      <c r="M22" s="9" t="n">
        <f aca="false">SUM(M5:M21)</f>
        <v>35352</v>
      </c>
      <c r="N22" s="9" t="n">
        <f aca="false">SUM(N5:N21)</f>
        <v>33246</v>
      </c>
      <c r="O22" s="9" t="n">
        <f aca="false">SUM(O5:O21)</f>
        <v>30923</v>
      </c>
      <c r="P22" s="9" t="n">
        <f aca="false">SUM(P5:P21)</f>
        <v>28954</v>
      </c>
      <c r="Q22" s="9" t="n">
        <f aca="false">SUM(Q5:Q21)</f>
        <v>27387</v>
      </c>
      <c r="R22" s="9" t="n">
        <f aca="false">SUM(R5:R21)</f>
        <v>26064</v>
      </c>
      <c r="S22" s="9" t="n">
        <f aca="false">SUM(S5:S21)</f>
        <v>25047</v>
      </c>
    </row>
    <row r="23" customFormat="false" ht="15" hidden="false" customHeight="false" outlineLevel="0" collapsed="false">
      <c r="A23" s="10" t="s">
        <v>39</v>
      </c>
    </row>
    <row r="24" customFormat="false" ht="15" hidden="false" customHeight="false" outlineLevel="0" collapsed="false">
      <c r="A24" s="5" t="s">
        <v>40</v>
      </c>
      <c r="B24" s="6" t="n">
        <v>35550</v>
      </c>
      <c r="C24" s="6" t="n">
        <v>38021</v>
      </c>
      <c r="D24" s="6" t="n">
        <v>39842</v>
      </c>
      <c r="E24" s="6" t="n">
        <v>42527</v>
      </c>
      <c r="F24" s="6" t="n">
        <v>43770</v>
      </c>
      <c r="G24" s="6" t="n">
        <v>43742</v>
      </c>
      <c r="H24" s="6" t="n">
        <v>42517</v>
      </c>
      <c r="I24" s="6" t="n">
        <v>41084</v>
      </c>
      <c r="J24" s="6" t="n">
        <v>40238</v>
      </c>
      <c r="K24" s="6" t="n">
        <v>39171</v>
      </c>
      <c r="L24" s="6" t="n">
        <v>37371</v>
      </c>
      <c r="M24" s="6" t="n">
        <v>35352</v>
      </c>
      <c r="N24" s="6" t="n">
        <v>33246</v>
      </c>
      <c r="O24" s="6" t="n">
        <v>30923</v>
      </c>
      <c r="P24" s="6" t="n">
        <v>28954</v>
      </c>
      <c r="Q24" s="6" t="n">
        <v>27387</v>
      </c>
      <c r="R24" s="6" t="n">
        <v>26064</v>
      </c>
    </row>
    <row r="25" customFormat="false" ht="15" hidden="false" customHeight="false" outlineLevel="0" collapsed="false">
      <c r="A25" s="5" t="s">
        <v>41</v>
      </c>
      <c r="B25" s="11" t="n">
        <f aca="false">B22-B24</f>
        <v>0</v>
      </c>
      <c r="C25" s="11" t="n">
        <f aca="false">C22-C24</f>
        <v>0</v>
      </c>
      <c r="D25" s="11" t="n">
        <f aca="false">D22-D24</f>
        <v>0</v>
      </c>
      <c r="E25" s="11" t="n">
        <f aca="false">E22-E24</f>
        <v>0</v>
      </c>
      <c r="F25" s="11" t="n">
        <f aca="false">F22-F24</f>
        <v>0</v>
      </c>
      <c r="G25" s="11" t="n">
        <f aca="false">G22-G24</f>
        <v>0</v>
      </c>
      <c r="H25" s="11" t="n">
        <f aca="false">H22-H24</f>
        <v>0</v>
      </c>
      <c r="I25" s="11" t="n">
        <f aca="false">I22-I24</f>
        <v>0</v>
      </c>
      <c r="J25" s="11" t="n">
        <f aca="false">J22-J24</f>
        <v>0</v>
      </c>
      <c r="K25" s="11" t="n">
        <f aca="false">K22-K24</f>
        <v>0</v>
      </c>
      <c r="L25" s="11" t="n">
        <f aca="false">L22-L24</f>
        <v>0</v>
      </c>
      <c r="M25" s="11" t="n">
        <f aca="false">M22-M24</f>
        <v>0</v>
      </c>
      <c r="N25" s="11" t="n">
        <f aca="false">N22-N24</f>
        <v>0</v>
      </c>
      <c r="O25" s="11" t="n">
        <f aca="false">O22-O24</f>
        <v>0</v>
      </c>
      <c r="P25" s="11" t="n">
        <f aca="false">P22-P24</f>
        <v>0</v>
      </c>
      <c r="Q25" s="11" t="n">
        <f aca="false">Q22-Q24</f>
        <v>0</v>
      </c>
      <c r="R25" s="11" t="n">
        <f aca="false">R22-R24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8" min="2" style="0" width="11"/>
  </cols>
  <sheetData>
    <row r="1" customFormat="false" ht="19.4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5" hidden="false" customHeight="false" outlineLevel="0" collapsed="false">
      <c r="A5" s="5" t="s">
        <v>21</v>
      </c>
      <c r="B5" s="6" t="n">
        <v>230888</v>
      </c>
      <c r="C5" s="6" t="n">
        <v>236339</v>
      </c>
      <c r="D5" s="6" t="n">
        <v>243440</v>
      </c>
      <c r="E5" s="6" t="n">
        <v>261870</v>
      </c>
      <c r="F5" s="6" t="n">
        <v>270458</v>
      </c>
      <c r="G5" s="6" t="n">
        <v>275464</v>
      </c>
      <c r="H5" s="6" t="n">
        <v>274132</v>
      </c>
      <c r="I5" s="6" t="n">
        <v>270231</v>
      </c>
      <c r="J5" s="6" t="n">
        <v>268100</v>
      </c>
      <c r="K5" s="6" t="n">
        <v>263157</v>
      </c>
      <c r="L5" s="6" t="n">
        <v>254538</v>
      </c>
      <c r="M5" s="6" t="n">
        <v>245863</v>
      </c>
      <c r="N5" s="6" t="n">
        <v>235682</v>
      </c>
      <c r="O5" s="6" t="n">
        <v>223628</v>
      </c>
      <c r="P5" s="6" t="n">
        <v>211248</v>
      </c>
      <c r="Q5" s="6" t="n">
        <v>202722</v>
      </c>
      <c r="R5" s="6" t="n">
        <v>195742</v>
      </c>
    </row>
    <row r="6" customFormat="false" ht="15" hidden="false" customHeight="false" outlineLevel="0" collapsed="false">
      <c r="A6" s="5" t="s">
        <v>22</v>
      </c>
      <c r="B6" s="6" t="n">
        <v>78238</v>
      </c>
      <c r="C6" s="6" t="n">
        <v>79526</v>
      </c>
      <c r="D6" s="6" t="n">
        <v>80583</v>
      </c>
      <c r="E6" s="6" t="n">
        <v>84863</v>
      </c>
      <c r="F6" s="6" t="n">
        <v>87238</v>
      </c>
      <c r="G6" s="6" t="n">
        <v>89078</v>
      </c>
      <c r="H6" s="6" t="n">
        <v>90014</v>
      </c>
      <c r="I6" s="6" t="n">
        <v>89658</v>
      </c>
      <c r="J6" s="6" t="n">
        <v>89040</v>
      </c>
      <c r="K6" s="6" t="n">
        <v>88222</v>
      </c>
      <c r="L6" s="6" t="n">
        <v>86553</v>
      </c>
      <c r="M6" s="6" t="n">
        <v>84008</v>
      </c>
      <c r="N6" s="6" t="n">
        <v>80248</v>
      </c>
      <c r="O6" s="6" t="n">
        <v>76146</v>
      </c>
      <c r="P6" s="6" t="n">
        <v>71570</v>
      </c>
      <c r="Q6" s="6" t="n">
        <v>66235</v>
      </c>
      <c r="R6" s="6" t="n">
        <v>62266</v>
      </c>
    </row>
    <row r="7" customFormat="false" ht="15" hidden="false" customHeight="false" outlineLevel="0" collapsed="false">
      <c r="A7" s="5" t="s">
        <v>23</v>
      </c>
      <c r="B7" s="6" t="n">
        <v>73312</v>
      </c>
      <c r="C7" s="6" t="n">
        <v>76276</v>
      </c>
      <c r="D7" s="6" t="n">
        <v>77218</v>
      </c>
      <c r="E7" s="6" t="n">
        <v>79769</v>
      </c>
      <c r="F7" s="6" t="n">
        <v>79638</v>
      </c>
      <c r="G7" s="6" t="n">
        <v>79274</v>
      </c>
      <c r="H7" s="6" t="n">
        <v>77547</v>
      </c>
      <c r="I7" s="6" t="n">
        <v>75255</v>
      </c>
      <c r="J7" s="6" t="n">
        <v>74696</v>
      </c>
      <c r="K7" s="6" t="n">
        <v>72500</v>
      </c>
      <c r="L7" s="6" t="n">
        <v>69390</v>
      </c>
      <c r="M7" s="6" t="n">
        <v>66727</v>
      </c>
      <c r="N7" s="6" t="n">
        <v>62125</v>
      </c>
      <c r="O7" s="6" t="n">
        <v>59434</v>
      </c>
      <c r="P7" s="6" t="n">
        <v>56462</v>
      </c>
      <c r="Q7" s="6" t="n">
        <v>53946</v>
      </c>
      <c r="R7" s="6" t="n">
        <v>52133</v>
      </c>
    </row>
    <row r="8" customFormat="false" ht="15" hidden="false" customHeight="false" outlineLevel="0" collapsed="false">
      <c r="A8" s="5" t="s">
        <v>24</v>
      </c>
      <c r="B8" s="6" t="n">
        <v>71246</v>
      </c>
      <c r="C8" s="6" t="n">
        <v>75533</v>
      </c>
      <c r="D8" s="6" t="n">
        <v>82245</v>
      </c>
      <c r="E8" s="6" t="n">
        <v>88062</v>
      </c>
      <c r="F8" s="6" t="n">
        <v>92290</v>
      </c>
      <c r="G8" s="6" t="n">
        <v>94812</v>
      </c>
      <c r="H8" s="6" t="n">
        <v>94735</v>
      </c>
      <c r="I8" s="6" t="n">
        <v>94314</v>
      </c>
      <c r="J8" s="6" t="n">
        <v>93938</v>
      </c>
      <c r="K8" s="6" t="n">
        <v>93888</v>
      </c>
      <c r="L8" s="6" t="n">
        <v>91615</v>
      </c>
      <c r="M8" s="6" t="n">
        <v>88002</v>
      </c>
      <c r="N8" s="6" t="n">
        <v>84877</v>
      </c>
      <c r="O8" s="6" t="n">
        <v>80896</v>
      </c>
      <c r="P8" s="6" t="n">
        <v>78883</v>
      </c>
      <c r="Q8" s="6" t="n">
        <v>76831</v>
      </c>
      <c r="R8" s="6" t="n">
        <v>75036</v>
      </c>
    </row>
    <row r="9" customFormat="false" ht="15" hidden="false" customHeight="false" outlineLevel="0" collapsed="false">
      <c r="A9" s="5" t="s">
        <v>25</v>
      </c>
      <c r="B9" s="6" t="n">
        <v>58802</v>
      </c>
      <c r="C9" s="6" t="n">
        <v>60833</v>
      </c>
      <c r="D9" s="6" t="n">
        <v>60943</v>
      </c>
      <c r="E9" s="6" t="n">
        <v>61975</v>
      </c>
      <c r="F9" s="6" t="n">
        <v>62582</v>
      </c>
      <c r="G9" s="6" t="n">
        <v>62676</v>
      </c>
      <c r="H9" s="6" t="n">
        <v>63471</v>
      </c>
      <c r="I9" s="6" t="n">
        <v>62528</v>
      </c>
      <c r="J9" s="6" t="n">
        <v>63161</v>
      </c>
      <c r="K9" s="6" t="n">
        <v>61121</v>
      </c>
      <c r="L9" s="6" t="n">
        <v>57756</v>
      </c>
      <c r="M9" s="6" t="n">
        <v>55020</v>
      </c>
      <c r="N9" s="6" t="n">
        <v>49556</v>
      </c>
      <c r="O9" s="6" t="n">
        <v>46531</v>
      </c>
      <c r="P9" s="6" t="n">
        <v>43399</v>
      </c>
      <c r="Q9" s="6" t="n">
        <v>41021</v>
      </c>
      <c r="R9" s="6" t="n">
        <v>38868</v>
      </c>
    </row>
    <row r="10" customFormat="false" ht="15" hidden="false" customHeight="false" outlineLevel="0" collapsed="false">
      <c r="A10" s="5" t="s">
        <v>26</v>
      </c>
      <c r="B10" s="6" t="n">
        <v>47864</v>
      </c>
      <c r="C10" s="6" t="n">
        <v>50719</v>
      </c>
      <c r="D10" s="6" t="n">
        <v>52812</v>
      </c>
      <c r="E10" s="6" t="n">
        <v>54343</v>
      </c>
      <c r="F10" s="6" t="n">
        <v>55106</v>
      </c>
      <c r="G10" s="6" t="n">
        <v>55553</v>
      </c>
      <c r="H10" s="6" t="n">
        <v>55635</v>
      </c>
      <c r="I10" s="6" t="n">
        <v>54514</v>
      </c>
      <c r="J10" s="6" t="n">
        <v>53688</v>
      </c>
      <c r="K10" s="6" t="n">
        <v>51025</v>
      </c>
      <c r="L10" s="6" t="n">
        <v>47923</v>
      </c>
      <c r="M10" s="6" t="n">
        <v>45160</v>
      </c>
      <c r="N10" s="6" t="n">
        <v>42171</v>
      </c>
      <c r="O10" s="6" t="n">
        <v>39145</v>
      </c>
      <c r="P10" s="6" t="n">
        <v>36356</v>
      </c>
      <c r="Q10" s="6" t="n">
        <v>34983</v>
      </c>
      <c r="R10" s="6" t="n">
        <v>34111</v>
      </c>
    </row>
    <row r="11" customFormat="false" ht="15" hidden="false" customHeight="false" outlineLevel="0" collapsed="false">
      <c r="A11" s="5" t="s">
        <v>27</v>
      </c>
      <c r="B11" s="6" t="n">
        <v>30381</v>
      </c>
      <c r="C11" s="6" t="n">
        <v>33091</v>
      </c>
      <c r="D11" s="6" t="n">
        <v>35621</v>
      </c>
      <c r="E11" s="6" t="n">
        <v>38210</v>
      </c>
      <c r="F11" s="6" t="n">
        <v>39629</v>
      </c>
      <c r="G11" s="6" t="n">
        <v>40754</v>
      </c>
      <c r="H11" s="6" t="n">
        <v>40899</v>
      </c>
      <c r="I11" s="6" t="n">
        <v>40257</v>
      </c>
      <c r="J11" s="6" t="n">
        <v>40305</v>
      </c>
      <c r="K11" s="6" t="n">
        <v>39894</v>
      </c>
      <c r="L11" s="6" t="n">
        <v>39650</v>
      </c>
      <c r="M11" s="6" t="n">
        <v>37491</v>
      </c>
      <c r="N11" s="6" t="n">
        <v>34583</v>
      </c>
      <c r="O11" s="6" t="n">
        <v>31746</v>
      </c>
      <c r="P11" s="6" t="n">
        <v>29785</v>
      </c>
      <c r="Q11" s="6" t="n">
        <v>27615</v>
      </c>
      <c r="R11" s="6" t="n">
        <v>26002</v>
      </c>
    </row>
    <row r="12" customFormat="false" ht="15" hidden="false" customHeight="false" outlineLevel="0" collapsed="false">
      <c r="A12" s="5" t="s">
        <v>28</v>
      </c>
      <c r="B12" s="6"/>
      <c r="C12" s="6"/>
      <c r="D12" s="6"/>
      <c r="E12" s="6" t="n">
        <v>5558</v>
      </c>
      <c r="F12" s="6" t="n">
        <v>6321</v>
      </c>
      <c r="G12" s="6" t="n">
        <v>8407</v>
      </c>
      <c r="H12" s="6" t="n">
        <v>10913</v>
      </c>
      <c r="I12" s="6" t="n">
        <v>12587</v>
      </c>
      <c r="J12" s="6" t="n">
        <v>14658</v>
      </c>
      <c r="K12" s="6" t="n">
        <v>17687</v>
      </c>
      <c r="L12" s="6" t="n">
        <v>19300</v>
      </c>
      <c r="M12" s="6" t="n">
        <v>19532</v>
      </c>
      <c r="N12" s="6" t="n">
        <v>19497</v>
      </c>
      <c r="O12" s="6" t="n">
        <v>18789</v>
      </c>
      <c r="P12" s="6" t="n">
        <v>18642</v>
      </c>
      <c r="Q12" s="6" t="n">
        <v>18357</v>
      </c>
      <c r="R12" s="6" t="n">
        <v>17101</v>
      </c>
    </row>
    <row r="13" customFormat="false" ht="15" hidden="false" customHeight="false" outlineLevel="0" collapsed="false">
      <c r="A13" s="5" t="s">
        <v>29</v>
      </c>
      <c r="B13" s="6" t="n">
        <v>359719</v>
      </c>
      <c r="C13" s="6" t="n">
        <v>387247</v>
      </c>
      <c r="D13" s="6" t="n">
        <v>409956</v>
      </c>
      <c r="E13" s="6" t="n">
        <v>447370</v>
      </c>
      <c r="F13" s="6" t="n">
        <v>472497</v>
      </c>
      <c r="G13" s="6" t="n">
        <v>479093</v>
      </c>
      <c r="H13" s="6" t="n">
        <v>474619</v>
      </c>
      <c r="I13" s="6" t="n">
        <v>467469</v>
      </c>
      <c r="J13" s="6" t="n">
        <v>466020</v>
      </c>
      <c r="K13" s="6" t="n">
        <v>467296</v>
      </c>
      <c r="L13" s="6" t="n">
        <v>464409</v>
      </c>
      <c r="M13" s="6" t="n">
        <v>455556</v>
      </c>
      <c r="N13" s="6" t="n">
        <v>441927</v>
      </c>
      <c r="O13" s="6" t="n">
        <v>424321</v>
      </c>
      <c r="P13" s="6" t="n">
        <v>411580</v>
      </c>
      <c r="Q13" s="6" t="n">
        <v>397632</v>
      </c>
      <c r="R13" s="6" t="n">
        <v>383623</v>
      </c>
    </row>
    <row r="14" customFormat="false" ht="15" hidden="false" customHeight="false" outlineLevel="0" collapsed="false">
      <c r="A14" s="5" t="s">
        <v>30</v>
      </c>
      <c r="B14" s="6" t="n">
        <v>47965</v>
      </c>
      <c r="C14" s="6" t="n">
        <v>51927</v>
      </c>
      <c r="D14" s="6" t="n">
        <v>53498</v>
      </c>
      <c r="E14" s="6" t="n">
        <v>56259</v>
      </c>
      <c r="F14" s="6" t="n">
        <v>56846</v>
      </c>
      <c r="G14" s="6" t="n">
        <v>56446</v>
      </c>
      <c r="H14" s="6" t="n">
        <v>55718</v>
      </c>
      <c r="I14" s="6" t="n">
        <v>54408</v>
      </c>
      <c r="J14" s="6" t="n">
        <v>53468</v>
      </c>
      <c r="K14" s="6" t="n">
        <v>51285</v>
      </c>
      <c r="L14" s="6" t="n">
        <v>49912</v>
      </c>
      <c r="M14" s="6" t="n">
        <v>48591</v>
      </c>
      <c r="N14" s="6" t="n">
        <v>47021</v>
      </c>
      <c r="O14" s="6" t="n">
        <v>45475</v>
      </c>
      <c r="P14" s="6" t="n">
        <v>42858</v>
      </c>
      <c r="Q14" s="6" t="n">
        <v>41213</v>
      </c>
      <c r="R14" s="6" t="n">
        <v>39331</v>
      </c>
    </row>
    <row r="15" customFormat="false" ht="15" hidden="false" customHeight="false" outlineLevel="0" collapsed="false">
      <c r="A15" s="5" t="s">
        <v>31</v>
      </c>
      <c r="B15" s="6" t="n">
        <v>56254</v>
      </c>
      <c r="C15" s="6" t="n">
        <v>58275</v>
      </c>
      <c r="D15" s="6" t="n">
        <v>59175</v>
      </c>
      <c r="E15" s="6" t="n">
        <v>61590</v>
      </c>
      <c r="F15" s="6" t="n">
        <v>62739</v>
      </c>
      <c r="G15" s="6" t="n">
        <v>63214</v>
      </c>
      <c r="H15" s="6" t="n">
        <v>63601</v>
      </c>
      <c r="I15" s="6" t="n">
        <v>63108</v>
      </c>
      <c r="J15" s="6" t="n">
        <v>62582</v>
      </c>
      <c r="K15" s="6" t="n">
        <v>61211</v>
      </c>
      <c r="L15" s="6" t="n">
        <v>60113</v>
      </c>
      <c r="M15" s="6" t="n">
        <v>58541</v>
      </c>
      <c r="N15" s="6" t="n">
        <v>57092</v>
      </c>
      <c r="O15" s="6" t="n">
        <v>54338</v>
      </c>
      <c r="P15" s="6" t="n">
        <v>51963</v>
      </c>
      <c r="Q15" s="6" t="n">
        <v>50014</v>
      </c>
      <c r="R15" s="6" t="n">
        <v>47680</v>
      </c>
    </row>
    <row r="16" customFormat="false" ht="15" hidden="false" customHeight="false" outlineLevel="0" collapsed="false">
      <c r="A16" s="5" t="s">
        <v>32</v>
      </c>
      <c r="B16" s="6" t="n">
        <v>66557</v>
      </c>
      <c r="C16" s="6" t="n">
        <v>71851</v>
      </c>
      <c r="D16" s="6" t="n">
        <v>78245</v>
      </c>
      <c r="E16" s="6" t="n">
        <v>81169</v>
      </c>
      <c r="F16" s="6" t="n">
        <v>88126</v>
      </c>
      <c r="G16" s="6" t="n">
        <v>87915</v>
      </c>
      <c r="H16" s="6" t="n">
        <v>87524</v>
      </c>
      <c r="I16" s="6" t="n">
        <v>87635</v>
      </c>
      <c r="J16" s="6" t="n">
        <v>87488</v>
      </c>
      <c r="K16" s="6" t="n">
        <v>86149</v>
      </c>
      <c r="L16" s="6" t="n">
        <v>82697</v>
      </c>
      <c r="M16" s="6" t="n">
        <v>79979</v>
      </c>
      <c r="N16" s="6" t="n">
        <v>76555</v>
      </c>
      <c r="O16" s="6" t="n">
        <v>72870</v>
      </c>
      <c r="P16" s="6" t="n">
        <v>69849</v>
      </c>
      <c r="Q16" s="6" t="n">
        <v>67154</v>
      </c>
      <c r="R16" s="6" t="n">
        <v>64323</v>
      </c>
    </row>
    <row r="17" customFormat="false" ht="15" hidden="false" customHeight="false" outlineLevel="0" collapsed="false">
      <c r="A17" s="5" t="s">
        <v>33</v>
      </c>
      <c r="B17" s="6" t="n">
        <v>72755</v>
      </c>
      <c r="C17" s="6" t="n">
        <v>72750</v>
      </c>
      <c r="D17" s="6" t="n">
        <v>72700</v>
      </c>
      <c r="E17" s="6" t="n">
        <v>74226</v>
      </c>
      <c r="F17" s="6" t="n">
        <v>75181</v>
      </c>
      <c r="G17" s="6" t="n">
        <v>75275</v>
      </c>
      <c r="H17" s="6" t="n">
        <v>73738</v>
      </c>
      <c r="I17" s="6" t="n">
        <v>71946</v>
      </c>
      <c r="J17" s="6" t="n">
        <v>69650</v>
      </c>
      <c r="K17" s="6" t="n">
        <v>66016</v>
      </c>
      <c r="L17" s="6" t="n">
        <v>62327</v>
      </c>
      <c r="M17" s="6" t="n">
        <v>59314</v>
      </c>
      <c r="N17" s="6" t="n">
        <v>55361</v>
      </c>
      <c r="O17" s="6" t="n">
        <v>51748</v>
      </c>
      <c r="P17" s="6" t="n">
        <v>47774</v>
      </c>
      <c r="Q17" s="6" t="n">
        <v>45507</v>
      </c>
      <c r="R17" s="6" t="n">
        <v>43411</v>
      </c>
    </row>
    <row r="18" customFormat="false" ht="15" hidden="false" customHeight="false" outlineLevel="0" collapsed="false">
      <c r="A18" s="5" t="s">
        <v>34</v>
      </c>
      <c r="B18" s="6" t="n">
        <v>65751</v>
      </c>
      <c r="C18" s="6" t="n">
        <v>66067</v>
      </c>
      <c r="D18" s="6" t="n">
        <v>66655</v>
      </c>
      <c r="E18" s="6" t="n">
        <v>68651</v>
      </c>
      <c r="F18" s="6" t="n">
        <v>69771</v>
      </c>
      <c r="G18" s="6" t="n">
        <v>70873</v>
      </c>
      <c r="H18" s="6" t="n">
        <v>70802</v>
      </c>
      <c r="I18" s="6" t="n">
        <v>70863</v>
      </c>
      <c r="J18" s="6" t="n">
        <v>70248</v>
      </c>
      <c r="K18" s="6" t="n">
        <v>68425</v>
      </c>
      <c r="L18" s="6" t="n">
        <v>66001</v>
      </c>
      <c r="M18" s="6" t="n">
        <v>61869</v>
      </c>
      <c r="N18" s="6" t="n">
        <v>59669</v>
      </c>
      <c r="O18" s="6" t="n">
        <v>56047</v>
      </c>
      <c r="P18" s="6" t="n">
        <v>52578</v>
      </c>
      <c r="Q18" s="6" t="n">
        <v>50620</v>
      </c>
      <c r="R18" s="6" t="n">
        <v>48457</v>
      </c>
    </row>
    <row r="19" customFormat="false" ht="15" hidden="false" customHeight="false" outlineLevel="0" collapsed="false">
      <c r="A19" s="5" t="s">
        <v>35</v>
      </c>
      <c r="B19" s="6" t="n">
        <v>85131</v>
      </c>
      <c r="C19" s="6" t="n">
        <v>88960</v>
      </c>
      <c r="D19" s="6" t="n">
        <v>93839</v>
      </c>
      <c r="E19" s="6" t="n">
        <v>96368</v>
      </c>
      <c r="F19" s="6" t="n">
        <v>97889</v>
      </c>
      <c r="G19" s="6" t="n">
        <v>95612</v>
      </c>
      <c r="H19" s="6" t="n">
        <v>93978</v>
      </c>
      <c r="I19" s="6" t="n">
        <v>93950</v>
      </c>
      <c r="J19" s="6" t="n">
        <v>92669</v>
      </c>
      <c r="K19" s="6" t="n">
        <v>89483</v>
      </c>
      <c r="L19" s="6" t="n">
        <v>85567</v>
      </c>
      <c r="M19" s="6" t="n">
        <v>81541</v>
      </c>
      <c r="N19" s="6" t="n">
        <v>77622</v>
      </c>
      <c r="O19" s="6" t="n">
        <v>72231</v>
      </c>
      <c r="P19" s="6" t="n">
        <v>64900</v>
      </c>
      <c r="Q19" s="6" t="n">
        <v>60676</v>
      </c>
      <c r="R19" s="6" t="n">
        <v>56814</v>
      </c>
    </row>
    <row r="20" customFormat="false" ht="15" hidden="false" customHeight="false" outlineLevel="0" collapsed="false">
      <c r="A20" s="5" t="s">
        <v>36</v>
      </c>
      <c r="B20" s="6" t="n">
        <v>109494</v>
      </c>
      <c r="C20" s="6" t="n">
        <v>118204</v>
      </c>
      <c r="D20" s="6" t="n">
        <v>124478</v>
      </c>
      <c r="E20" s="6" t="n">
        <v>129308</v>
      </c>
      <c r="F20" s="6" t="n">
        <v>132963</v>
      </c>
      <c r="G20" s="6" t="n">
        <v>133204</v>
      </c>
      <c r="H20" s="6" t="n">
        <v>130665</v>
      </c>
      <c r="I20" s="6" t="n">
        <v>127325</v>
      </c>
      <c r="J20" s="6" t="n">
        <v>126361</v>
      </c>
      <c r="K20" s="6" t="n">
        <v>125015</v>
      </c>
      <c r="L20" s="6" t="n">
        <v>119534</v>
      </c>
      <c r="M20" s="6" t="n">
        <v>112049</v>
      </c>
      <c r="N20" s="6" t="n">
        <v>105786</v>
      </c>
      <c r="O20" s="6" t="n">
        <v>96773</v>
      </c>
      <c r="P20" s="6" t="n">
        <v>88305</v>
      </c>
      <c r="Q20" s="6" t="n">
        <v>81177</v>
      </c>
      <c r="R20" s="6" t="n">
        <v>76844</v>
      </c>
    </row>
    <row r="21" customFormat="false" ht="15" hidden="false" customHeight="false" outlineLevel="0" collapsed="false">
      <c r="A21" s="5" t="s">
        <v>37</v>
      </c>
      <c r="B21" s="6" t="n">
        <v>28059</v>
      </c>
      <c r="C21" s="6" t="n">
        <v>29210</v>
      </c>
      <c r="D21" s="6" t="n">
        <v>30540</v>
      </c>
      <c r="E21" s="6" t="n">
        <v>32326</v>
      </c>
      <c r="F21" s="6" t="n">
        <v>33185</v>
      </c>
      <c r="G21" s="6" t="n">
        <v>33009</v>
      </c>
      <c r="H21" s="6" t="n">
        <v>32830</v>
      </c>
      <c r="I21" s="6" t="n">
        <v>31176</v>
      </c>
      <c r="J21" s="6" t="n">
        <v>30531</v>
      </c>
      <c r="K21" s="6" t="n">
        <v>29950</v>
      </c>
      <c r="L21" s="6" t="n">
        <v>29588</v>
      </c>
      <c r="M21" s="6" t="n">
        <v>29017</v>
      </c>
      <c r="N21" s="6" t="n">
        <v>27724</v>
      </c>
      <c r="O21" s="6" t="n">
        <v>26568</v>
      </c>
      <c r="P21" s="6" t="n">
        <v>25288</v>
      </c>
      <c r="Q21" s="6" t="n">
        <v>24384</v>
      </c>
      <c r="R21" s="6" t="n">
        <v>23290</v>
      </c>
    </row>
    <row r="22" customFormat="false" ht="15" hidden="false" customHeight="false" outlineLevel="0" collapsed="false">
      <c r="A22" s="8" t="s">
        <v>38</v>
      </c>
      <c r="B22" s="9" t="n">
        <f aca="false">SUM(B5:B21)</f>
        <v>1482416</v>
      </c>
      <c r="C22" s="9" t="n">
        <f aca="false">SUM(C5:C21)</f>
        <v>1556808</v>
      </c>
      <c r="D22" s="9" t="n">
        <f aca="false">SUM(D5:D21)</f>
        <v>1621948</v>
      </c>
      <c r="E22" s="9" t="n">
        <f aca="false">SUM(E5:E21)</f>
        <v>1721917</v>
      </c>
      <c r="F22" s="9" t="n">
        <f aca="false">SUM(F5:F21)</f>
        <v>1782459</v>
      </c>
      <c r="G22" s="9" t="n">
        <f aca="false">SUM(G5:G21)</f>
        <v>1800659</v>
      </c>
      <c r="H22" s="9" t="n">
        <f aca="false">SUM(H5:H21)</f>
        <v>1790821</v>
      </c>
      <c r="I22" s="9" t="n">
        <f aca="false">SUM(I5:I21)</f>
        <v>1767224</v>
      </c>
      <c r="J22" s="9" t="n">
        <f aca="false">SUM(J5:J21)</f>
        <v>1756603</v>
      </c>
      <c r="K22" s="9" t="n">
        <f aca="false">SUM(K5:K21)</f>
        <v>1732324</v>
      </c>
      <c r="L22" s="9" t="n">
        <f aca="false">SUM(L5:L21)</f>
        <v>1686873</v>
      </c>
      <c r="M22" s="9" t="n">
        <f aca="false">SUM(M5:M21)</f>
        <v>1628260</v>
      </c>
      <c r="N22" s="9" t="n">
        <f aca="false">SUM(N5:N21)</f>
        <v>1557496</v>
      </c>
      <c r="O22" s="9" t="n">
        <f aca="false">SUM(O5:O21)</f>
        <v>1476686</v>
      </c>
      <c r="P22" s="9" t="n">
        <f aca="false">SUM(P5:P21)</f>
        <v>1401440</v>
      </c>
      <c r="Q22" s="9" t="n">
        <f aca="false">SUM(Q5:Q21)</f>
        <v>1340087</v>
      </c>
      <c r="R22" s="9" t="n">
        <f aca="false">SUM(R5:R21)</f>
        <v>1285032</v>
      </c>
    </row>
    <row r="23" customFormat="false" ht="15" hidden="false" customHeight="false" outlineLevel="0" collapsed="false">
      <c r="A23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9" min="2" style="0" width="11"/>
  </cols>
  <sheetData>
    <row r="1" customFormat="false" ht="19.4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5" hidden="false" customHeight="false" outlineLevel="0" collapsed="false">
      <c r="A5" s="5" t="s">
        <v>21</v>
      </c>
      <c r="B5" s="6" t="n">
        <v>193723</v>
      </c>
      <c r="C5" s="6" t="n">
        <v>206581</v>
      </c>
      <c r="D5" s="6" t="n">
        <v>214863</v>
      </c>
      <c r="E5" s="6" t="n">
        <v>239335</v>
      </c>
      <c r="F5" s="6" t="n">
        <v>242648</v>
      </c>
      <c r="G5" s="6" t="n">
        <v>243432</v>
      </c>
      <c r="H5" s="6" t="n">
        <v>238103</v>
      </c>
      <c r="I5" s="6" t="n">
        <v>236550</v>
      </c>
      <c r="J5" s="6" t="n">
        <v>234867</v>
      </c>
      <c r="K5" s="6" t="n">
        <v>226959</v>
      </c>
      <c r="L5" s="6" t="n">
        <v>217444</v>
      </c>
      <c r="M5" s="6" t="n">
        <v>196260</v>
      </c>
      <c r="N5" s="6" t="n">
        <v>182922</v>
      </c>
      <c r="O5" s="6" t="n">
        <v>167427</v>
      </c>
      <c r="P5" s="6" t="n">
        <v>155251</v>
      </c>
      <c r="Q5" s="6" t="n">
        <v>143413</v>
      </c>
      <c r="R5" s="6" t="n">
        <v>136017</v>
      </c>
      <c r="S5" s="7" t="n">
        <v>129666</v>
      </c>
    </row>
    <row r="6" customFormat="false" ht="15" hidden="false" customHeight="false" outlineLevel="0" collapsed="false">
      <c r="A6" s="5" t="s">
        <v>22</v>
      </c>
      <c r="B6" s="6" t="n">
        <v>62862</v>
      </c>
      <c r="C6" s="6" t="n">
        <v>65822</v>
      </c>
      <c r="D6" s="6" t="n">
        <v>68050</v>
      </c>
      <c r="E6" s="6" t="n">
        <v>73991</v>
      </c>
      <c r="F6" s="6" t="n">
        <v>74317</v>
      </c>
      <c r="G6" s="6" t="n">
        <v>75407</v>
      </c>
      <c r="H6" s="6" t="n">
        <v>74003</v>
      </c>
      <c r="I6" s="6" t="n">
        <v>75006</v>
      </c>
      <c r="J6" s="6" t="n">
        <v>74971</v>
      </c>
      <c r="K6" s="6" t="n">
        <v>73586</v>
      </c>
      <c r="L6" s="6" t="n">
        <v>70977</v>
      </c>
      <c r="M6" s="6" t="n">
        <v>65290</v>
      </c>
      <c r="N6" s="6" t="n">
        <v>61611</v>
      </c>
      <c r="O6" s="6" t="n">
        <v>55850</v>
      </c>
      <c r="P6" s="6" t="n">
        <v>50891</v>
      </c>
      <c r="Q6" s="6" t="n">
        <v>46589</v>
      </c>
      <c r="R6" s="6" t="n">
        <v>43636</v>
      </c>
      <c r="S6" s="7" t="n">
        <v>40316</v>
      </c>
    </row>
    <row r="7" customFormat="false" ht="15" hidden="false" customHeight="false" outlineLevel="0" collapsed="false">
      <c r="A7" s="5" t="s">
        <v>23</v>
      </c>
      <c r="B7" s="6" t="n">
        <v>57501</v>
      </c>
      <c r="C7" s="6" t="n">
        <v>61765</v>
      </c>
      <c r="D7" s="6" t="n">
        <v>63118</v>
      </c>
      <c r="E7" s="6" t="n">
        <v>66795</v>
      </c>
      <c r="F7" s="6" t="n">
        <v>63505</v>
      </c>
      <c r="G7" s="6" t="n">
        <v>62824</v>
      </c>
      <c r="H7" s="6" t="n">
        <v>59449</v>
      </c>
      <c r="I7" s="6" t="n">
        <v>58706</v>
      </c>
      <c r="J7" s="6" t="n">
        <v>58591</v>
      </c>
      <c r="K7" s="6" t="n">
        <v>56943</v>
      </c>
      <c r="L7" s="6" t="n">
        <v>54641</v>
      </c>
      <c r="M7" s="6" t="n">
        <v>49029</v>
      </c>
      <c r="N7" s="6" t="n">
        <v>46211</v>
      </c>
      <c r="O7" s="6" t="n">
        <v>42487</v>
      </c>
      <c r="P7" s="6" t="n">
        <v>39159</v>
      </c>
      <c r="Q7" s="6" t="n">
        <v>36176</v>
      </c>
      <c r="R7" s="6" t="n">
        <v>34115</v>
      </c>
      <c r="S7" s="7" t="n">
        <v>31889</v>
      </c>
    </row>
    <row r="8" customFormat="false" ht="15" hidden="false" customHeight="false" outlineLevel="0" collapsed="false">
      <c r="A8" s="5" t="s">
        <v>24</v>
      </c>
      <c r="B8" s="6" t="n">
        <v>58567</v>
      </c>
      <c r="C8" s="6" t="n">
        <v>65075</v>
      </c>
      <c r="D8" s="6" t="n">
        <v>71381</v>
      </c>
      <c r="E8" s="6" t="n">
        <v>79751</v>
      </c>
      <c r="F8" s="6" t="n">
        <v>81796</v>
      </c>
      <c r="G8" s="6" t="n">
        <v>83731</v>
      </c>
      <c r="H8" s="6" t="n">
        <v>81353</v>
      </c>
      <c r="I8" s="6" t="n">
        <v>81096</v>
      </c>
      <c r="J8" s="6" t="n">
        <v>80895</v>
      </c>
      <c r="K8" s="6" t="n">
        <v>79164</v>
      </c>
      <c r="L8" s="6" t="n">
        <v>76084</v>
      </c>
      <c r="M8" s="6" t="n">
        <v>68106</v>
      </c>
      <c r="N8" s="6" t="n">
        <v>65663</v>
      </c>
      <c r="O8" s="6" t="n">
        <v>62200</v>
      </c>
      <c r="P8" s="6" t="n">
        <v>60032</v>
      </c>
      <c r="Q8" s="6" t="n">
        <v>57610</v>
      </c>
      <c r="R8" s="6" t="n">
        <v>56319</v>
      </c>
      <c r="S8" s="7" t="n">
        <v>53757</v>
      </c>
    </row>
    <row r="9" customFormat="false" ht="15" hidden="false" customHeight="false" outlineLevel="0" collapsed="false">
      <c r="A9" s="5" t="s">
        <v>25</v>
      </c>
      <c r="B9" s="6" t="n">
        <v>45640</v>
      </c>
      <c r="C9" s="6" t="n">
        <v>48879</v>
      </c>
      <c r="D9" s="6" t="n">
        <v>49983</v>
      </c>
      <c r="E9" s="6" t="n">
        <v>53378</v>
      </c>
      <c r="F9" s="6" t="n">
        <v>51274</v>
      </c>
      <c r="G9" s="6" t="n">
        <v>50672</v>
      </c>
      <c r="H9" s="6" t="n">
        <v>48529</v>
      </c>
      <c r="I9" s="6" t="n">
        <v>47207</v>
      </c>
      <c r="J9" s="6" t="n">
        <v>46650</v>
      </c>
      <c r="K9" s="6" t="n">
        <v>44134</v>
      </c>
      <c r="L9" s="6" t="n">
        <v>41530</v>
      </c>
      <c r="M9" s="6" t="n">
        <v>36742</v>
      </c>
      <c r="N9" s="6" t="n">
        <v>34561</v>
      </c>
      <c r="O9" s="6" t="n">
        <v>31732</v>
      </c>
      <c r="P9" s="6" t="n">
        <v>28761</v>
      </c>
      <c r="Q9" s="6" t="n">
        <v>26584</v>
      </c>
      <c r="R9" s="6" t="n">
        <v>24561</v>
      </c>
      <c r="S9" s="7" t="n">
        <v>22581</v>
      </c>
    </row>
    <row r="10" customFormat="false" ht="15" hidden="false" customHeight="false" outlineLevel="0" collapsed="false">
      <c r="A10" s="5" t="s">
        <v>26</v>
      </c>
      <c r="B10" s="6" t="n">
        <v>38141</v>
      </c>
      <c r="C10" s="6" t="n">
        <v>42105</v>
      </c>
      <c r="D10" s="6" t="n">
        <v>44573</v>
      </c>
      <c r="E10" s="6" t="n">
        <v>48432</v>
      </c>
      <c r="F10" s="6" t="n">
        <v>47163</v>
      </c>
      <c r="G10" s="6" t="n">
        <v>46859</v>
      </c>
      <c r="H10" s="6" t="n">
        <v>44691</v>
      </c>
      <c r="I10" s="6" t="n">
        <v>44482</v>
      </c>
      <c r="J10" s="6" t="n">
        <v>43761</v>
      </c>
      <c r="K10" s="6" t="n">
        <v>41553</v>
      </c>
      <c r="L10" s="6" t="n">
        <v>38526</v>
      </c>
      <c r="M10" s="6" t="n">
        <v>34037</v>
      </c>
      <c r="N10" s="6" t="n">
        <v>31177</v>
      </c>
      <c r="O10" s="6" t="n">
        <v>28144</v>
      </c>
      <c r="P10" s="6" t="n">
        <v>25996</v>
      </c>
      <c r="Q10" s="6" t="n">
        <v>24602</v>
      </c>
      <c r="R10" s="6" t="n">
        <v>23465</v>
      </c>
      <c r="S10" s="7" t="n">
        <v>22040</v>
      </c>
    </row>
    <row r="11" customFormat="false" ht="15" hidden="false" customHeight="false" outlineLevel="0" collapsed="false">
      <c r="A11" s="5" t="s">
        <v>27</v>
      </c>
      <c r="B11" s="6" t="n">
        <v>24074</v>
      </c>
      <c r="C11" s="6" t="n">
        <v>27350</v>
      </c>
      <c r="D11" s="6" t="n">
        <v>29976</v>
      </c>
      <c r="E11" s="6" t="n">
        <v>33800</v>
      </c>
      <c r="F11" s="6" t="n">
        <v>34269</v>
      </c>
      <c r="G11" s="6" t="n">
        <v>35383</v>
      </c>
      <c r="H11" s="6" t="n">
        <v>34676</v>
      </c>
      <c r="I11" s="6" t="n">
        <v>34762</v>
      </c>
      <c r="J11" s="6" t="n">
        <v>34657</v>
      </c>
      <c r="K11" s="6" t="n">
        <v>34436</v>
      </c>
      <c r="L11" s="6" t="n">
        <v>33315</v>
      </c>
      <c r="M11" s="6" t="n">
        <v>29805</v>
      </c>
      <c r="N11" s="6" t="n">
        <v>27328</v>
      </c>
      <c r="O11" s="6" t="n">
        <v>24892</v>
      </c>
      <c r="P11" s="6" t="n">
        <v>22469</v>
      </c>
      <c r="Q11" s="6" t="n">
        <v>20186</v>
      </c>
      <c r="R11" s="6" t="n">
        <v>18375</v>
      </c>
      <c r="S11" s="7" t="n">
        <v>17070</v>
      </c>
    </row>
    <row r="12" customFormat="false" ht="15" hidden="false" customHeight="false" outlineLevel="0" collapsed="false">
      <c r="A12" s="5" t="s">
        <v>28</v>
      </c>
      <c r="B12" s="6"/>
      <c r="C12" s="6"/>
      <c r="D12" s="6"/>
      <c r="E12" s="6" t="n">
        <v>4547</v>
      </c>
      <c r="F12" s="6" t="n">
        <v>5158</v>
      </c>
      <c r="G12" s="6" t="n">
        <v>6405</v>
      </c>
      <c r="H12" s="6" t="n">
        <v>8723</v>
      </c>
      <c r="I12" s="6" t="n">
        <v>10846</v>
      </c>
      <c r="J12" s="6" t="n">
        <v>12580</v>
      </c>
      <c r="K12" s="6" t="n">
        <v>14298</v>
      </c>
      <c r="L12" s="6" t="n">
        <v>15525</v>
      </c>
      <c r="M12" s="6" t="n">
        <v>15349</v>
      </c>
      <c r="N12" s="6" t="n">
        <v>15248</v>
      </c>
      <c r="O12" s="6" t="n">
        <v>14927</v>
      </c>
      <c r="P12" s="6" t="n">
        <v>14131</v>
      </c>
      <c r="Q12" s="6" t="n">
        <v>13192</v>
      </c>
      <c r="R12" s="6" t="n">
        <v>12231</v>
      </c>
      <c r="S12" s="7" t="n">
        <v>11544</v>
      </c>
    </row>
    <row r="13" customFormat="false" ht="15" hidden="false" customHeight="false" outlineLevel="0" collapsed="false">
      <c r="A13" s="5" t="s">
        <v>29</v>
      </c>
      <c r="B13" s="6" t="n">
        <v>283774</v>
      </c>
      <c r="C13" s="6" t="n">
        <v>320056</v>
      </c>
      <c r="D13" s="6" t="n">
        <v>344326</v>
      </c>
      <c r="E13" s="6" t="n">
        <v>392515</v>
      </c>
      <c r="F13" s="6" t="n">
        <v>397656</v>
      </c>
      <c r="G13" s="6" t="n">
        <v>402945</v>
      </c>
      <c r="H13" s="6" t="n">
        <v>389398</v>
      </c>
      <c r="I13" s="6" t="n">
        <v>390870</v>
      </c>
      <c r="J13" s="6" t="n">
        <v>394882</v>
      </c>
      <c r="K13" s="6" t="n">
        <v>393149</v>
      </c>
      <c r="L13" s="6" t="n">
        <v>389004</v>
      </c>
      <c r="M13" s="6" t="n">
        <v>358813</v>
      </c>
      <c r="N13" s="6" t="n">
        <v>350117</v>
      </c>
      <c r="O13" s="6" t="n">
        <v>331516</v>
      </c>
      <c r="P13" s="6" t="n">
        <v>311814</v>
      </c>
      <c r="Q13" s="6" t="n">
        <v>295983</v>
      </c>
      <c r="R13" s="6" t="n">
        <v>281594</v>
      </c>
      <c r="S13" s="7" t="n">
        <v>266736</v>
      </c>
    </row>
    <row r="14" customFormat="false" ht="15" hidden="false" customHeight="false" outlineLevel="0" collapsed="false">
      <c r="A14" s="5" t="s">
        <v>30</v>
      </c>
      <c r="B14" s="6" t="n">
        <v>37562</v>
      </c>
      <c r="C14" s="6" t="n">
        <v>41292</v>
      </c>
      <c r="D14" s="6" t="n">
        <v>42996</v>
      </c>
      <c r="E14" s="6" t="n">
        <v>46007</v>
      </c>
      <c r="F14" s="6" t="n">
        <v>45113</v>
      </c>
      <c r="G14" s="6" t="n">
        <v>44280</v>
      </c>
      <c r="H14" s="6" t="n">
        <v>42238</v>
      </c>
      <c r="I14" s="6" t="n">
        <v>41743</v>
      </c>
      <c r="J14" s="6" t="n">
        <v>41020</v>
      </c>
      <c r="K14" s="6" t="n">
        <v>39337</v>
      </c>
      <c r="L14" s="6" t="n">
        <v>37902</v>
      </c>
      <c r="M14" s="6" t="n">
        <v>35406</v>
      </c>
      <c r="N14" s="6" t="n">
        <v>34622</v>
      </c>
      <c r="O14" s="6" t="n">
        <v>32680</v>
      </c>
      <c r="P14" s="6" t="n">
        <v>30217</v>
      </c>
      <c r="Q14" s="6" t="n">
        <v>28058</v>
      </c>
      <c r="R14" s="6" t="n">
        <v>26176</v>
      </c>
      <c r="S14" s="7" t="n">
        <v>24627</v>
      </c>
    </row>
    <row r="15" customFormat="false" ht="15" hidden="false" customHeight="false" outlineLevel="0" collapsed="false">
      <c r="A15" s="5" t="s">
        <v>31</v>
      </c>
      <c r="B15" s="6" t="n">
        <v>42557</v>
      </c>
      <c r="C15" s="6" t="n">
        <v>45983</v>
      </c>
      <c r="D15" s="6" t="n">
        <v>48251</v>
      </c>
      <c r="E15" s="6" t="n">
        <v>51467</v>
      </c>
      <c r="F15" s="6" t="n">
        <v>51476</v>
      </c>
      <c r="G15" s="6" t="n">
        <v>51491</v>
      </c>
      <c r="H15" s="6" t="n">
        <v>49787</v>
      </c>
      <c r="I15" s="6" t="n">
        <v>50014</v>
      </c>
      <c r="J15" s="6" t="n">
        <v>49896</v>
      </c>
      <c r="K15" s="6" t="n">
        <v>48774</v>
      </c>
      <c r="L15" s="6" t="n">
        <v>47266</v>
      </c>
      <c r="M15" s="6" t="n">
        <v>43675</v>
      </c>
      <c r="N15" s="6" t="n">
        <v>42124</v>
      </c>
      <c r="O15" s="6" t="n">
        <v>38884</v>
      </c>
      <c r="P15" s="6" t="n">
        <v>35806</v>
      </c>
      <c r="Q15" s="6" t="n">
        <v>33171</v>
      </c>
      <c r="R15" s="6" t="n">
        <v>31032</v>
      </c>
      <c r="S15" s="7" t="n">
        <v>29433</v>
      </c>
    </row>
    <row r="16" customFormat="false" ht="15" hidden="false" customHeight="false" outlineLevel="0" collapsed="false">
      <c r="A16" s="5" t="s">
        <v>32</v>
      </c>
      <c r="B16" s="6" t="n">
        <v>52282</v>
      </c>
      <c r="C16" s="6" t="n">
        <v>58305</v>
      </c>
      <c r="D16" s="6" t="n">
        <v>63236</v>
      </c>
      <c r="E16" s="6" t="n">
        <v>67626</v>
      </c>
      <c r="F16" s="6" t="n">
        <v>69395</v>
      </c>
      <c r="G16" s="6" t="n">
        <v>70015</v>
      </c>
      <c r="H16" s="6" t="n">
        <v>68750</v>
      </c>
      <c r="I16" s="6" t="n">
        <v>69364</v>
      </c>
      <c r="J16" s="6" t="n">
        <v>69787</v>
      </c>
      <c r="K16" s="6" t="n">
        <v>68411</v>
      </c>
      <c r="L16" s="6" t="n">
        <v>65304</v>
      </c>
      <c r="M16" s="6" t="n">
        <v>59379</v>
      </c>
      <c r="N16" s="6" t="n">
        <v>56504</v>
      </c>
      <c r="O16" s="6" t="n">
        <v>52196</v>
      </c>
      <c r="P16" s="6" t="n">
        <v>48797</v>
      </c>
      <c r="Q16" s="6" t="n">
        <v>45204</v>
      </c>
      <c r="R16" s="6" t="n">
        <v>42293</v>
      </c>
      <c r="S16" s="7" t="n">
        <v>39489</v>
      </c>
    </row>
    <row r="17" customFormat="false" ht="15" hidden="false" customHeight="false" outlineLevel="0" collapsed="false">
      <c r="A17" s="5" t="s">
        <v>33</v>
      </c>
      <c r="B17" s="6" t="n">
        <v>55619</v>
      </c>
      <c r="C17" s="6" t="n">
        <v>56531</v>
      </c>
      <c r="D17" s="6" t="n">
        <v>57114</v>
      </c>
      <c r="E17" s="6" t="n">
        <v>60401</v>
      </c>
      <c r="F17" s="6" t="n">
        <v>59050</v>
      </c>
      <c r="G17" s="6" t="n">
        <v>58328</v>
      </c>
      <c r="H17" s="6" t="n">
        <v>55226</v>
      </c>
      <c r="I17" s="6" t="n">
        <v>53798</v>
      </c>
      <c r="J17" s="6" t="n">
        <v>52105</v>
      </c>
      <c r="K17" s="6" t="n">
        <v>49670</v>
      </c>
      <c r="L17" s="6" t="n">
        <v>46698</v>
      </c>
      <c r="M17" s="6" t="n">
        <v>41961</v>
      </c>
      <c r="N17" s="6" t="n">
        <v>38978</v>
      </c>
      <c r="O17" s="6" t="n">
        <v>34789</v>
      </c>
      <c r="P17" s="6" t="n">
        <v>31554</v>
      </c>
      <c r="Q17" s="6" t="n">
        <v>28902</v>
      </c>
      <c r="R17" s="6" t="n">
        <v>26880</v>
      </c>
      <c r="S17" s="7" t="n">
        <v>24709</v>
      </c>
    </row>
    <row r="18" customFormat="false" ht="15" hidden="false" customHeight="false" outlineLevel="0" collapsed="false">
      <c r="A18" s="5" t="s">
        <v>34</v>
      </c>
      <c r="B18" s="6" t="n">
        <v>51240</v>
      </c>
      <c r="C18" s="6" t="n">
        <v>52903</v>
      </c>
      <c r="D18" s="6" t="n">
        <v>53988</v>
      </c>
      <c r="E18" s="6" t="n">
        <v>56481</v>
      </c>
      <c r="F18" s="6" t="n">
        <v>56334</v>
      </c>
      <c r="G18" s="6" t="n">
        <v>56105</v>
      </c>
      <c r="H18" s="6" t="n">
        <v>54647</v>
      </c>
      <c r="I18" s="6" t="n">
        <v>54708</v>
      </c>
      <c r="J18" s="6" t="n">
        <v>53772</v>
      </c>
      <c r="K18" s="6" t="n">
        <v>51201</v>
      </c>
      <c r="L18" s="6" t="n">
        <v>47796</v>
      </c>
      <c r="M18" s="6" t="n">
        <v>44148</v>
      </c>
      <c r="N18" s="6" t="n">
        <v>42241</v>
      </c>
      <c r="O18" s="6" t="n">
        <v>38927</v>
      </c>
      <c r="P18" s="6" t="n">
        <v>35344</v>
      </c>
      <c r="Q18" s="6" t="n">
        <v>32470</v>
      </c>
      <c r="R18" s="6" t="n">
        <v>30705</v>
      </c>
      <c r="S18" s="7" t="n">
        <v>28297</v>
      </c>
    </row>
    <row r="19" customFormat="false" ht="15" hidden="false" customHeight="false" outlineLevel="0" collapsed="false">
      <c r="A19" s="5" t="s">
        <v>35</v>
      </c>
      <c r="B19" s="6" t="n">
        <v>63724</v>
      </c>
      <c r="C19" s="6" t="n">
        <v>69395</v>
      </c>
      <c r="D19" s="6" t="n">
        <v>72261</v>
      </c>
      <c r="E19" s="6" t="n">
        <v>77010</v>
      </c>
      <c r="F19" s="6" t="n">
        <v>73825</v>
      </c>
      <c r="G19" s="6" t="n">
        <v>73271</v>
      </c>
      <c r="H19" s="6" t="n">
        <v>70860</v>
      </c>
      <c r="I19" s="6" t="n">
        <v>71010</v>
      </c>
      <c r="J19" s="6" t="n">
        <v>70901</v>
      </c>
      <c r="K19" s="6" t="n">
        <v>67914</v>
      </c>
      <c r="L19" s="6" t="n">
        <v>64120</v>
      </c>
      <c r="M19" s="6" t="n">
        <v>58234</v>
      </c>
      <c r="N19" s="6" t="n">
        <v>54954</v>
      </c>
      <c r="O19" s="6" t="n">
        <v>48988</v>
      </c>
      <c r="P19" s="6" t="n">
        <v>43022</v>
      </c>
      <c r="Q19" s="6" t="n">
        <v>38642</v>
      </c>
      <c r="R19" s="6" t="n">
        <v>35983</v>
      </c>
      <c r="S19" s="7" t="n">
        <v>33018</v>
      </c>
    </row>
    <row r="20" customFormat="false" ht="15" hidden="false" customHeight="false" outlineLevel="0" collapsed="false">
      <c r="A20" s="5" t="s">
        <v>36</v>
      </c>
      <c r="B20" s="6" t="n">
        <v>84186</v>
      </c>
      <c r="C20" s="6" t="n">
        <v>93059</v>
      </c>
      <c r="D20" s="6" t="n">
        <v>99100</v>
      </c>
      <c r="E20" s="6" t="n">
        <v>108931</v>
      </c>
      <c r="F20" s="6" t="n">
        <v>106745</v>
      </c>
      <c r="G20" s="6" t="n">
        <v>108121</v>
      </c>
      <c r="H20" s="6" t="n">
        <v>105271</v>
      </c>
      <c r="I20" s="6" t="n">
        <v>103822</v>
      </c>
      <c r="J20" s="6" t="n">
        <v>103717</v>
      </c>
      <c r="K20" s="6" t="n">
        <v>99755</v>
      </c>
      <c r="L20" s="6" t="n">
        <v>93756</v>
      </c>
      <c r="M20" s="6" t="n">
        <v>84337</v>
      </c>
      <c r="N20" s="6" t="n">
        <v>78004</v>
      </c>
      <c r="O20" s="6" t="n">
        <v>68841</v>
      </c>
      <c r="P20" s="6" t="n">
        <v>59419</v>
      </c>
      <c r="Q20" s="6" t="n">
        <v>53139</v>
      </c>
      <c r="R20" s="6" t="n">
        <v>48349</v>
      </c>
      <c r="S20" s="7" t="n">
        <v>43750</v>
      </c>
    </row>
    <row r="21" customFormat="false" ht="15" hidden="false" customHeight="false" outlineLevel="0" collapsed="false">
      <c r="A21" s="5" t="s">
        <v>37</v>
      </c>
      <c r="B21" s="6" t="n">
        <v>23597</v>
      </c>
      <c r="C21" s="6" t="n">
        <v>24809</v>
      </c>
      <c r="D21" s="6" t="n">
        <v>25513</v>
      </c>
      <c r="E21" s="6" t="n">
        <v>26894</v>
      </c>
      <c r="F21" s="6" t="n">
        <v>27256</v>
      </c>
      <c r="G21" s="6" t="n">
        <v>27402</v>
      </c>
      <c r="H21" s="6" t="n">
        <v>27109</v>
      </c>
      <c r="I21" s="6" t="n">
        <v>27231</v>
      </c>
      <c r="J21" s="6" t="n">
        <v>27191</v>
      </c>
      <c r="K21" s="6" t="n">
        <v>26458</v>
      </c>
      <c r="L21" s="6" t="n">
        <v>25197</v>
      </c>
      <c r="M21" s="6" t="n">
        <v>23825</v>
      </c>
      <c r="N21" s="6" t="n">
        <v>22451</v>
      </c>
      <c r="O21" s="6" t="n">
        <v>20970</v>
      </c>
      <c r="P21" s="6" t="n">
        <v>19150</v>
      </c>
      <c r="Q21" s="6" t="n">
        <v>17382</v>
      </c>
      <c r="R21" s="6" t="n">
        <v>16033</v>
      </c>
      <c r="S21" s="7" t="n">
        <v>14690</v>
      </c>
    </row>
    <row r="22" customFormat="false" ht="15" hidden="false" customHeight="false" outlineLevel="0" collapsed="false">
      <c r="A22" s="8" t="s">
        <v>38</v>
      </c>
      <c r="B22" s="9" t="n">
        <f aca="false">SUM(B5:B21)</f>
        <v>1175049</v>
      </c>
      <c r="C22" s="9" t="n">
        <f aca="false">SUM(C5:C21)</f>
        <v>1279910</v>
      </c>
      <c r="D22" s="9" t="n">
        <f aca="false">SUM(D5:D21)</f>
        <v>1348729</v>
      </c>
      <c r="E22" s="9" t="n">
        <f aca="false">SUM(E5:E21)</f>
        <v>1487361</v>
      </c>
      <c r="F22" s="9" t="n">
        <f aca="false">SUM(F5:F21)</f>
        <v>1486980</v>
      </c>
      <c r="G22" s="9" t="n">
        <f aca="false">SUM(G5:G21)</f>
        <v>1496671</v>
      </c>
      <c r="H22" s="9" t="n">
        <f aca="false">SUM(H5:H21)</f>
        <v>1452813</v>
      </c>
      <c r="I22" s="9" t="n">
        <f aca="false">SUM(I5:I21)</f>
        <v>1451215</v>
      </c>
      <c r="J22" s="9" t="n">
        <f aca="false">SUM(J5:J21)</f>
        <v>1450243</v>
      </c>
      <c r="K22" s="9" t="n">
        <f aca="false">SUM(K5:K21)</f>
        <v>1415742</v>
      </c>
      <c r="L22" s="9" t="n">
        <f aca="false">SUM(L5:L21)</f>
        <v>1365085</v>
      </c>
      <c r="M22" s="9" t="n">
        <f aca="false">SUM(M5:M21)</f>
        <v>1244396</v>
      </c>
      <c r="N22" s="9" t="n">
        <f aca="false">SUM(N5:N21)</f>
        <v>1184716</v>
      </c>
      <c r="O22" s="9" t="n">
        <f aca="false">SUM(O5:O21)</f>
        <v>1095450</v>
      </c>
      <c r="P22" s="9" t="n">
        <f aca="false">SUM(P5:P21)</f>
        <v>1011813</v>
      </c>
      <c r="Q22" s="9" t="n">
        <f aca="false">SUM(Q5:Q21)</f>
        <v>941303</v>
      </c>
      <c r="R22" s="9" t="n">
        <f aca="false">SUM(R5:R21)</f>
        <v>887764</v>
      </c>
      <c r="S22" s="9" t="n">
        <f aca="false">SUM(S5:S21)</f>
        <v>833612</v>
      </c>
    </row>
    <row r="23" customFormat="false" ht="15" hidden="false" customHeight="false" outlineLevel="0" collapsed="false">
      <c r="A23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9.4" hidden="false" customHeight="false" outlineLevel="0" collapsed="false">
      <c r="A1" s="1" t="s">
        <v>47</v>
      </c>
    </row>
    <row r="2" customFormat="false" ht="15" hidden="false" customHeight="false" outlineLevel="0" collapsed="false">
      <c r="A2" s="10" t="s">
        <v>48</v>
      </c>
    </row>
    <row r="4" customFormat="false" ht="15" hidden="false" customHeight="false" outlineLevel="0" collapsed="false">
      <c r="A4" s="3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2" t="s">
        <v>19</v>
      </c>
    </row>
    <row r="5" customFormat="false" ht="15" hidden="false" customHeight="false" outlineLevel="0" collapsed="false">
      <c r="A5" s="5" t="s">
        <v>21</v>
      </c>
      <c r="B5" s="13" t="n">
        <f aca="false">IF(OR(정원!B5="",정원!B5=0),"",현원!B5/정원!B5)</f>
        <v>0.83903451023873</v>
      </c>
      <c r="C5" s="13" t="n">
        <f aca="false">IF(OR(정원!C5="",정원!C5=0),"",현원!C5/정원!C5)</f>
        <v>0.874087645289182</v>
      </c>
      <c r="D5" s="13" t="n">
        <f aca="false">IF(OR(정원!D5="",정원!D5=0),"",현원!D5/정원!D5)</f>
        <v>0.882611731843575</v>
      </c>
      <c r="E5" s="13" t="n">
        <f aca="false">IF(OR(정원!E5="",정원!E5=0),"",현원!E5/정원!E5)</f>
        <v>0.913945850994768</v>
      </c>
      <c r="F5" s="13" t="n">
        <f aca="false">IF(OR(정원!F5="",정원!F5=0),"",현원!F5/정원!F5)</f>
        <v>0.89717442264603</v>
      </c>
      <c r="G5" s="13" t="n">
        <f aca="false">IF(OR(정원!G5="",정원!G5=0),"",현원!G5/정원!G5)</f>
        <v>0.883716202480179</v>
      </c>
      <c r="H5" s="13" t="n">
        <f aca="false">IF(OR(정원!H5="",정원!H5=0),"",현원!H5/정원!H5)</f>
        <v>0.868570615615835</v>
      </c>
      <c r="I5" s="13" t="n">
        <f aca="false">IF(OR(정원!I5="",정원!I5=0),"",현원!I5/정원!I5)</f>
        <v>0.875362190126225</v>
      </c>
      <c r="J5" s="13" t="n">
        <f aca="false">IF(OR(정원!J5="",정원!J5=0),"",현원!J5/정원!J5)</f>
        <v>0.876042521447221</v>
      </c>
      <c r="K5" s="13" t="n">
        <f aca="false">IF(OR(정원!K5="",정원!K5=0),"",현원!K5/정원!K5)</f>
        <v>0.86244713232025</v>
      </c>
      <c r="L5" s="13" t="n">
        <f aca="false">IF(OR(정원!L5="",정원!L5=0),"",현원!L5/정원!L5)</f>
        <v>0.854269303601034</v>
      </c>
      <c r="M5" s="13" t="n">
        <f aca="false">IF(OR(정원!M5="",정원!M5=0),"",현원!M5/정원!M5)</f>
        <v>0.798249431594018</v>
      </c>
      <c r="N5" s="13" t="n">
        <f aca="false">IF(OR(정원!N5="",정원!N5=0),"",현원!N5/정원!N5)</f>
        <v>0.77613903480113</v>
      </c>
      <c r="O5" s="13" t="n">
        <f aca="false">IF(OR(정원!O5="",정원!O5=0),"",현원!O5/정원!O5)</f>
        <v>0.74868531668664</v>
      </c>
      <c r="P5" s="13" t="n">
        <f aca="false">IF(OR(정원!P5="",정원!P5=0),"",현원!P5/정원!P5)</f>
        <v>0.734922934181625</v>
      </c>
      <c r="Q5" s="13" t="n">
        <f aca="false">IF(OR(정원!Q5="",정원!Q5=0),"",현원!Q5/정원!Q5)</f>
        <v>0.707436785351368</v>
      </c>
      <c r="R5" s="13" t="n">
        <f aca="false">IF(OR(정원!R5="",정원!R5=0),"",현원!R5/정원!R5)</f>
        <v>0.694878973342461</v>
      </c>
    </row>
    <row r="6" customFormat="false" ht="15" hidden="false" customHeight="false" outlineLevel="0" collapsed="false">
      <c r="A6" s="5" t="s">
        <v>22</v>
      </c>
      <c r="B6" s="13" t="n">
        <f aca="false">IF(OR(정원!B6="",정원!B6=0),"",현원!B6/정원!B6)</f>
        <v>0.803471458881873</v>
      </c>
      <c r="C6" s="13" t="n">
        <f aca="false">IF(OR(정원!C6="",정원!C6=0),"",현원!C6/정원!C6)</f>
        <v>0.827678998063526</v>
      </c>
      <c r="D6" s="13" t="n">
        <f aca="false">IF(OR(정원!D6="",정원!D6=0),"",현원!D6/정원!D6)</f>
        <v>0.844470918183736</v>
      </c>
      <c r="E6" s="13" t="n">
        <f aca="false">IF(OR(정원!E6="",정원!E6=0),"",현원!E6/정원!E6)</f>
        <v>0.871887630651756</v>
      </c>
      <c r="F6" s="13" t="n">
        <f aca="false">IF(OR(정원!F6="",정원!F6=0),"",현원!F6/정원!F6)</f>
        <v>0.851887938742291</v>
      </c>
      <c r="G6" s="13" t="n">
        <f aca="false">IF(OR(정원!G6="",정원!G6=0),"",현원!G6/정원!G6)</f>
        <v>0.846527762185949</v>
      </c>
      <c r="H6" s="13" t="n">
        <f aca="false">IF(OR(정원!H6="",정원!H6=0),"",현원!H6/정원!H6)</f>
        <v>0.822127669029262</v>
      </c>
      <c r="I6" s="13" t="n">
        <f aca="false">IF(OR(정원!I6="",정원!I6=0),"",현원!I6/정원!I6)</f>
        <v>0.836579000200763</v>
      </c>
      <c r="J6" s="13" t="n">
        <f aca="false">IF(OR(정원!J6="",정원!J6=0),"",현원!J6/정원!J6)</f>
        <v>0.841992362982929</v>
      </c>
      <c r="K6" s="13" t="n">
        <f aca="false">IF(OR(정원!K6="",정원!K6=0),"",현원!K6/정원!K6)</f>
        <v>0.834100337784226</v>
      </c>
      <c r="L6" s="13" t="n">
        <f aca="false">IF(OR(정원!L6="",정원!L6=0),"",현원!L6/정원!L6)</f>
        <v>0.820040899795501</v>
      </c>
      <c r="M6" s="13" t="n">
        <f aca="false">IF(OR(정원!M6="",정원!M6=0),"",현원!M6/정원!M6)</f>
        <v>0.777187886867917</v>
      </c>
      <c r="N6" s="13" t="n">
        <f aca="false">IF(OR(정원!N6="",정원!N6=0),"",현원!N6/정원!N6)</f>
        <v>0.767757451899113</v>
      </c>
      <c r="O6" s="13" t="n">
        <f aca="false">IF(OR(정원!O6="",정원!O6=0),"",현원!O6/정원!O6)</f>
        <v>0.733459406928795</v>
      </c>
      <c r="P6" s="13" t="n">
        <f aca="false">IF(OR(정원!P6="",정원!P6=0),"",현원!P6/정원!P6)</f>
        <v>0.711066089143496</v>
      </c>
      <c r="Q6" s="13" t="n">
        <f aca="false">IF(OR(정원!Q6="",정원!Q6=0),"",현원!Q6/정원!Q6)</f>
        <v>0.70338944666717</v>
      </c>
      <c r="R6" s="13" t="n">
        <f aca="false">IF(OR(정원!R6="",정원!R6=0),"",현원!R6/정원!R6)</f>
        <v>0.700799794430347</v>
      </c>
    </row>
    <row r="7" customFormat="false" ht="15" hidden="false" customHeight="false" outlineLevel="0" collapsed="false">
      <c r="A7" s="5" t="s">
        <v>23</v>
      </c>
      <c r="B7" s="13" t="n">
        <f aca="false">IF(OR(정원!B7="",정원!B7=0),"",현원!B7/정원!B7)</f>
        <v>0.784332714971628</v>
      </c>
      <c r="C7" s="13" t="n">
        <f aca="false">IF(OR(정원!C7="",정원!C7=0),"",현원!C7/정원!C7)</f>
        <v>0.809756673134407</v>
      </c>
      <c r="D7" s="13" t="n">
        <f aca="false">IF(OR(정원!D7="",정원!D7=0),"",현원!D7/정원!D7)</f>
        <v>0.817400088062369</v>
      </c>
      <c r="E7" s="13" t="n">
        <f aca="false">IF(OR(정원!E7="",정원!E7=0),"",현원!E7/정원!E7)</f>
        <v>0.837355363612431</v>
      </c>
      <c r="F7" s="13" t="n">
        <f aca="false">IF(OR(정원!F7="",정원!F7=0),"",현원!F7/정원!F7)</f>
        <v>0.797420829252367</v>
      </c>
      <c r="G7" s="13" t="n">
        <f aca="false">IF(OR(정원!G7="",정원!G7=0),"",현원!G7/정원!G7)</f>
        <v>0.792491863662739</v>
      </c>
      <c r="H7" s="13" t="n">
        <f aca="false">IF(OR(정원!H7="",정원!H7=0),"",현원!H7/정원!H7)</f>
        <v>0.766618953666809</v>
      </c>
      <c r="I7" s="13" t="n">
        <f aca="false">IF(OR(정원!I7="",정원!I7=0),"",현원!I7/정원!I7)</f>
        <v>0.780094345890639</v>
      </c>
      <c r="J7" s="13" t="n">
        <f aca="false">IF(OR(정원!J7="",정원!J7=0),"",현원!J7/정원!J7)</f>
        <v>0.784392738566992</v>
      </c>
      <c r="K7" s="13" t="n">
        <f aca="false">IF(OR(정원!K7="",정원!K7=0),"",현원!K7/정원!K7)</f>
        <v>0.785420689655172</v>
      </c>
      <c r="L7" s="13" t="n">
        <f aca="false">IF(OR(정원!L7="",정원!L7=0),"",현원!L7/정원!L7)</f>
        <v>0.78744775904309</v>
      </c>
      <c r="M7" s="13" t="n">
        <f aca="false">IF(OR(정원!M7="",정원!M7=0),"",현원!M7/정원!M7)</f>
        <v>0.734770033120026</v>
      </c>
      <c r="N7" s="13" t="n">
        <f aca="false">IF(OR(정원!N7="",정원!N7=0),"",현원!N7/정원!N7)</f>
        <v>0.743839034205231</v>
      </c>
      <c r="O7" s="13" t="n">
        <f aca="false">IF(OR(정원!O7="",정원!O7=0),"",현원!O7/정원!O7)</f>
        <v>0.714860181041155</v>
      </c>
      <c r="P7" s="13" t="n">
        <f aca="false">IF(OR(정원!P7="",정원!P7=0),"",현원!P7/정원!P7)</f>
        <v>0.693546101802983</v>
      </c>
      <c r="Q7" s="13" t="n">
        <f aca="false">IF(OR(정원!Q7="",정원!Q7=0),"",현원!Q7/정원!Q7)</f>
        <v>0.670596522448374</v>
      </c>
      <c r="R7" s="13" t="n">
        <f aca="false">IF(OR(정원!R7="",정원!R7=0),"",현원!R7/정원!R7)</f>
        <v>0.654383979437209</v>
      </c>
    </row>
    <row r="8" customFormat="false" ht="15" hidden="false" customHeight="false" outlineLevel="0" collapsed="false">
      <c r="A8" s="5" t="s">
        <v>24</v>
      </c>
      <c r="B8" s="13" t="n">
        <f aca="false">IF(OR(정원!B8="",정원!B8=0),"",현원!B8/정원!B8)</f>
        <v>0.822039132021447</v>
      </c>
      <c r="C8" s="13" t="n">
        <f aca="false">IF(OR(정원!C8="",정원!C8=0),"",현원!C8/정원!C8)</f>
        <v>0.861543960917745</v>
      </c>
      <c r="D8" s="13" t="n">
        <f aca="false">IF(OR(정원!D8="",정원!D8=0),"",현원!D8/정원!D8)</f>
        <v>0.867906863639127</v>
      </c>
      <c r="E8" s="13" t="n">
        <f aca="false">IF(OR(정원!E8="",정원!E8=0),"",현원!E8/정원!E8)</f>
        <v>0.905623310849175</v>
      </c>
      <c r="F8" s="13" t="n">
        <f aca="false">IF(OR(정원!F8="",정원!F8=0),"",현원!F8/정원!F8)</f>
        <v>0.886293206197855</v>
      </c>
      <c r="G8" s="13" t="n">
        <f aca="false">IF(OR(정원!G8="",정원!G8=0),"",현원!G8/정원!G8)</f>
        <v>0.883126608446188</v>
      </c>
      <c r="H8" s="13" t="n">
        <f aca="false">IF(OR(정원!H8="",정원!H8=0),"",현원!H8/정원!H8)</f>
        <v>0.858742808887951</v>
      </c>
      <c r="I8" s="13" t="n">
        <f aca="false">IF(OR(정원!I8="",정원!I8=0),"",현원!I8/정원!I8)</f>
        <v>0.85985113556842</v>
      </c>
      <c r="J8" s="13" t="n">
        <f aca="false">IF(OR(정원!J8="",정원!J8=0),"",현원!J8/정원!J8)</f>
        <v>0.861153100981498</v>
      </c>
      <c r="K8" s="13" t="n">
        <f aca="false">IF(OR(정원!K8="",정원!K8=0),"",현원!K8/정원!K8)</f>
        <v>0.843174846625767</v>
      </c>
      <c r="L8" s="13" t="n">
        <f aca="false">IF(OR(정원!L8="",정원!L8=0),"",현원!L8/정원!L8)</f>
        <v>0.830475358838618</v>
      </c>
      <c r="M8" s="13" t="n">
        <f aca="false">IF(OR(정원!M8="",정원!M8=0),"",현원!M8/정원!M8)</f>
        <v>0.773914229222063</v>
      </c>
      <c r="N8" s="13" t="n">
        <f aca="false">IF(OR(정원!N8="",정원!N8=0),"",현원!N8/정원!N8)</f>
        <v>0.773625363761679</v>
      </c>
      <c r="O8" s="13" t="n">
        <f aca="false">IF(OR(정원!O8="",정원!O8=0),"",현원!O8/정원!O8)</f>
        <v>0.768888449367089</v>
      </c>
      <c r="P8" s="13" t="n">
        <f aca="false">IF(OR(정원!P8="",정원!P8=0),"",현원!P8/정원!P8)</f>
        <v>0.761025823054397</v>
      </c>
      <c r="Q8" s="13" t="n">
        <f aca="false">IF(OR(정원!Q8="",정원!Q8=0),"",현원!Q8/정원!Q8)</f>
        <v>0.749827543569653</v>
      </c>
      <c r="R8" s="13" t="n">
        <f aca="false">IF(OR(정원!R8="",정원!R8=0),"",현원!R8/정원!R8)</f>
        <v>0.750559731328962</v>
      </c>
    </row>
    <row r="9" customFormat="false" ht="15" hidden="false" customHeight="false" outlineLevel="0" collapsed="false">
      <c r="A9" s="5" t="s">
        <v>25</v>
      </c>
      <c r="B9" s="13" t="n">
        <f aca="false">IF(OR(정원!B9="",정원!B9=0),"",현원!B9/정원!B9)</f>
        <v>0.776164076051835</v>
      </c>
      <c r="C9" s="13" t="n">
        <f aca="false">IF(OR(정원!C9="",정원!C9=0),"",현원!C9/정원!C9)</f>
        <v>0.803494813670212</v>
      </c>
      <c r="D9" s="13" t="n">
        <f aca="false">IF(OR(정원!D9="",정원!D9=0),"",현원!D9/정원!D9)</f>
        <v>0.820159821472524</v>
      </c>
      <c r="E9" s="13" t="n">
        <f aca="false">IF(OR(정원!E9="",정원!E9=0),"",현원!E9/정원!E9)</f>
        <v>0.861282775312626</v>
      </c>
      <c r="F9" s="13" t="n">
        <f aca="false">IF(OR(정원!F9="",정원!F9=0),"",현원!F9/정원!F9)</f>
        <v>0.819309066504746</v>
      </c>
      <c r="G9" s="13" t="n">
        <f aca="false">IF(OR(정원!G9="",정원!G9=0),"",현원!G9/정원!G9)</f>
        <v>0.808475333460974</v>
      </c>
      <c r="H9" s="13" t="n">
        <f aca="false">IF(OR(정원!H9="",정원!H9=0),"",현원!H9/정원!H9)</f>
        <v>0.76458540120685</v>
      </c>
      <c r="I9" s="13" t="n">
        <f aca="false">IF(OR(정원!I9="",정원!I9=0),"",현원!I9/정원!I9)</f>
        <v>0.754973771750256</v>
      </c>
      <c r="J9" s="13" t="n">
        <f aca="false">IF(OR(정원!J9="",정원!J9=0),"",현원!J9/정원!J9)</f>
        <v>0.738588686056269</v>
      </c>
      <c r="K9" s="13" t="n">
        <f aca="false">IF(OR(정원!K9="",정원!K9=0),"",현원!K9/정원!K9)</f>
        <v>0.722075882266324</v>
      </c>
      <c r="L9" s="13" t="n">
        <f aca="false">IF(OR(정원!L9="",정원!L9=0),"",현원!L9/정원!L9)</f>
        <v>0.719059491654547</v>
      </c>
      <c r="M9" s="13" t="n">
        <f aca="false">IF(OR(정원!M9="",정원!M9=0),"",현원!M9/정원!M9)</f>
        <v>0.667793529625591</v>
      </c>
      <c r="N9" s="13" t="n">
        <f aca="false">IF(OR(정원!N9="",정원!N9=0),"",현원!N9/정원!N9)</f>
        <v>0.69741302768585</v>
      </c>
      <c r="O9" s="13" t="n">
        <f aca="false">IF(OR(정원!O9="",정원!O9=0),"",현원!O9/정원!O9)</f>
        <v>0.681953966173089</v>
      </c>
      <c r="P9" s="13" t="n">
        <f aca="false">IF(OR(정원!P9="",정원!P9=0),"",현원!P9/정원!P9)</f>
        <v>0.662711122376092</v>
      </c>
      <c r="Q9" s="13" t="n">
        <f aca="false">IF(OR(정원!Q9="",정원!Q9=0),"",현원!Q9/정원!Q9)</f>
        <v>0.648058311596499</v>
      </c>
      <c r="R9" s="13" t="n">
        <f aca="false">IF(OR(정원!R9="",정원!R9=0),"",현원!R9/정원!R9)</f>
        <v>0.631907996295153</v>
      </c>
    </row>
    <row r="10" customFormat="false" ht="15" hidden="false" customHeight="false" outlineLevel="0" collapsed="false">
      <c r="A10" s="5" t="s">
        <v>26</v>
      </c>
      <c r="B10" s="13" t="n">
        <f aca="false">IF(OR(정원!B10="",정원!B10=0),"",현원!B10/정원!B10)</f>
        <v>0.79686194216948</v>
      </c>
      <c r="C10" s="13" t="n">
        <f aca="false">IF(OR(정원!C10="",정원!C10=0),"",현원!C10/정원!C10)</f>
        <v>0.830162266606203</v>
      </c>
      <c r="D10" s="13" t="n">
        <f aca="false">IF(OR(정원!D10="",정원!D10=0),"",현원!D10/정원!D10)</f>
        <v>0.843993789290313</v>
      </c>
      <c r="E10" s="13" t="n">
        <f aca="false">IF(OR(정원!E10="",정원!E10=0),"",현원!E10/정원!E10)</f>
        <v>0.891227941041164</v>
      </c>
      <c r="F10" s="13" t="n">
        <f aca="false">IF(OR(정원!F10="",정원!F10=0),"",현원!F10/정원!F10)</f>
        <v>0.855859616012775</v>
      </c>
      <c r="G10" s="13" t="n">
        <f aca="false">IF(OR(정원!G10="",정원!G10=0),"",현원!G10/정원!G10)</f>
        <v>0.843500801036848</v>
      </c>
      <c r="H10" s="13" t="n">
        <f aca="false">IF(OR(정원!H10="",정원!H10=0),"",현원!H10/정원!H10)</f>
        <v>0.803289296306282</v>
      </c>
      <c r="I10" s="13" t="n">
        <f aca="false">IF(OR(정원!I10="",정원!I10=0),"",현원!I10/정원!I10)</f>
        <v>0.815973878269802</v>
      </c>
      <c r="J10" s="13" t="n">
        <f aca="false">IF(OR(정원!J10="",정원!J10=0),"",현원!J10/정원!J10)</f>
        <v>0.815098345999106</v>
      </c>
      <c r="K10" s="13" t="n">
        <f aca="false">IF(OR(정원!K10="",정원!K10=0),"",현원!K10/정원!K10)</f>
        <v>0.814365507104361</v>
      </c>
      <c r="L10" s="13" t="n">
        <f aca="false">IF(OR(정원!L10="",정원!L10=0),"",현원!L10/정원!L10)</f>
        <v>0.803914613025061</v>
      </c>
      <c r="M10" s="13" t="n">
        <f aca="false">IF(OR(정원!M10="",정원!M10=0),"",현원!M10/정원!M10)</f>
        <v>0.753697962798937</v>
      </c>
      <c r="N10" s="13" t="n">
        <f aca="false">IF(OR(정원!N10="",정원!N10=0),"",현원!N10/정원!N10)</f>
        <v>0.739299518626544</v>
      </c>
      <c r="O10" s="13" t="n">
        <f aca="false">IF(OR(정원!O10="",정원!O10=0),"",현원!O10/정원!O10)</f>
        <v>0.71896793971133</v>
      </c>
      <c r="P10" s="13" t="n">
        <f aca="false">IF(OR(정원!P10="",정원!P10=0),"",현원!P10/정원!P10)</f>
        <v>0.715040158433271</v>
      </c>
      <c r="Q10" s="13" t="n">
        <f aca="false">IF(OR(정원!Q10="",정원!Q10=0),"",현원!Q10/정원!Q10)</f>
        <v>0.703255867135466</v>
      </c>
      <c r="R10" s="13" t="n">
        <f aca="false">IF(OR(정원!R10="",정원!R10=0),"",현원!R10/정원!R10)</f>
        <v>0.687901263522031</v>
      </c>
    </row>
    <row r="11" customFormat="false" ht="15" hidden="false" customHeight="false" outlineLevel="0" collapsed="false">
      <c r="A11" s="5" t="s">
        <v>27</v>
      </c>
      <c r="B11" s="13" t="n">
        <f aca="false">IF(OR(정원!B11="",정원!B11=0),"",현원!B11/정원!B11)</f>
        <v>0.792403146703532</v>
      </c>
      <c r="C11" s="13" t="n">
        <f aca="false">IF(OR(정원!C11="",정원!C11=0),"",현원!C11/정원!C11)</f>
        <v>0.826508718382642</v>
      </c>
      <c r="D11" s="13" t="n">
        <f aca="false">IF(OR(정원!D11="",정원!D11=0),"",현원!D11/정원!D11)</f>
        <v>0.841526066084613</v>
      </c>
      <c r="E11" s="13" t="n">
        <f aca="false">IF(OR(정원!E11="",정원!E11=0),"",현원!E11/정원!E11)</f>
        <v>0.88458518712379</v>
      </c>
      <c r="F11" s="13" t="n">
        <f aca="false">IF(OR(정원!F11="",정원!F11=0),"",현원!F11/정원!F11)</f>
        <v>0.864745514648364</v>
      </c>
      <c r="G11" s="13" t="n">
        <f aca="false">IF(OR(정원!G11="",정원!G11=0),"",현원!G11/정원!G11)</f>
        <v>0.868209255533199</v>
      </c>
      <c r="H11" s="13" t="n">
        <f aca="false">IF(OR(정원!H11="",정원!H11=0),"",현원!H11/정원!H11)</f>
        <v>0.847844690579232</v>
      </c>
      <c r="I11" s="13" t="n">
        <f aca="false">IF(OR(정원!I11="",정원!I11=0),"",현원!I11/정원!I11)</f>
        <v>0.863501999652234</v>
      </c>
      <c r="J11" s="13" t="n">
        <f aca="false">IF(OR(정원!J11="",정원!J11=0),"",현원!J11/정원!J11)</f>
        <v>0.859868502667163</v>
      </c>
      <c r="K11" s="13" t="n">
        <f aca="false">IF(OR(정원!K11="",정원!K11=0),"",현원!K11/정원!K11)</f>
        <v>0.863187446733845</v>
      </c>
      <c r="L11" s="13" t="n">
        <f aca="false">IF(OR(정원!L11="",정원!L11=0),"",현원!L11/정원!L11)</f>
        <v>0.840226986128626</v>
      </c>
      <c r="M11" s="13" t="n">
        <f aca="false">IF(OR(정원!M11="",정원!M11=0),"",현원!M11/정원!M11)</f>
        <v>0.79499079779147</v>
      </c>
      <c r="N11" s="13" t="n">
        <f aca="false">IF(OR(정원!N11="",정원!N11=0),"",현원!N11/정원!N11)</f>
        <v>0.790214845444293</v>
      </c>
      <c r="O11" s="13" t="n">
        <f aca="false">IF(OR(정원!O11="",정원!O11=0),"",현원!O11/정원!O11)</f>
        <v>0.784098784098784</v>
      </c>
      <c r="P11" s="13" t="n">
        <f aca="false">IF(OR(정원!P11="",정원!P11=0),"",현원!P11/정원!P11)</f>
        <v>0.75437300654692</v>
      </c>
      <c r="Q11" s="13" t="n">
        <f aca="false">IF(OR(정원!Q11="",정원!Q11=0),"",현원!Q11/정원!Q11)</f>
        <v>0.730979540105015</v>
      </c>
      <c r="R11" s="13" t="n">
        <f aca="false">IF(OR(정원!R11="",정원!R11=0),"",현원!R11/정원!R11)</f>
        <v>0.706676409506961</v>
      </c>
    </row>
    <row r="12" customFormat="false" ht="15" hidden="false" customHeight="false" outlineLevel="0" collapsed="false">
      <c r="A12" s="5" t="s">
        <v>28</v>
      </c>
      <c r="B12" s="13" t="str">
        <f aca="false">IF(OR(정원!B12="",정원!B12=0),"",현원!B12/정원!B12)</f>
        <v/>
      </c>
      <c r="C12" s="13" t="str">
        <f aca="false">IF(OR(정원!C12="",정원!C12=0),"",현원!C12/정원!C12)</f>
        <v/>
      </c>
      <c r="D12" s="13" t="str">
        <f aca="false">IF(OR(정원!D12="",정원!D12=0),"",현원!D12/정원!D12)</f>
        <v/>
      </c>
      <c r="E12" s="13" t="n">
        <f aca="false">IF(OR(정원!E12="",정원!E12=0),"",현원!E12/정원!E12)</f>
        <v>0.818100035984167</v>
      </c>
      <c r="F12" s="13" t="n">
        <f aca="false">IF(OR(정원!F12="",정원!F12=0),"",현원!F12/정원!F12)</f>
        <v>0.816010124980225</v>
      </c>
      <c r="G12" s="13" t="n">
        <f aca="false">IF(OR(정원!G12="",정원!G12=0),"",현원!G12/정원!G12)</f>
        <v>0.761865112406328</v>
      </c>
      <c r="H12" s="13" t="n">
        <f aca="false">IF(OR(정원!H12="",정원!H12=0),"",현원!H12/정원!H12)</f>
        <v>0.799321909649042</v>
      </c>
      <c r="I12" s="13" t="n">
        <f aca="false">IF(OR(정원!I12="",정원!I12=0),"",현원!I12/정원!I12)</f>
        <v>0.861682688488123</v>
      </c>
      <c r="J12" s="13" t="n">
        <f aca="false">IF(OR(정원!J12="",정원!J12=0),"",현원!J12/정원!J12)</f>
        <v>0.858234411243007</v>
      </c>
      <c r="K12" s="13" t="n">
        <f aca="false">IF(OR(정원!K12="",정원!K12=0),"",현원!K12/정원!K12)</f>
        <v>0.808390343189914</v>
      </c>
      <c r="L12" s="13" t="n">
        <f aca="false">IF(OR(정원!L12="",정원!L12=0),"",현원!L12/정원!L12)</f>
        <v>0.80440414507772</v>
      </c>
      <c r="M12" s="13" t="n">
        <f aca="false">IF(OR(정원!M12="",정원!M12=0),"",현원!M12/정원!M12)</f>
        <v>0.785838623796846</v>
      </c>
      <c r="N12" s="13" t="n">
        <f aca="false">IF(OR(정원!N12="",정원!N12=0),"",현원!N12/정원!N12)</f>
        <v>0.782069036261989</v>
      </c>
      <c r="O12" s="13" t="n">
        <f aca="false">IF(OR(정원!O12="",정원!O12=0),"",현원!O12/정원!O12)</f>
        <v>0.794454201926659</v>
      </c>
      <c r="P12" s="13" t="n">
        <f aca="false">IF(OR(정원!P12="",정원!P12=0),"",현원!P12/정원!P12)</f>
        <v>0.758019525801953</v>
      </c>
      <c r="Q12" s="13" t="n">
        <f aca="false">IF(OR(정원!Q12="",정원!Q12=0),"",현원!Q12/정원!Q12)</f>
        <v>0.718635942692161</v>
      </c>
      <c r="R12" s="13" t="n">
        <f aca="false">IF(OR(정원!R12="",정원!R12=0),"",현원!R12/정원!R12)</f>
        <v>0.715221332085843</v>
      </c>
    </row>
    <row r="13" customFormat="false" ht="15" hidden="false" customHeight="false" outlineLevel="0" collapsed="false">
      <c r="A13" s="5" t="s">
        <v>29</v>
      </c>
      <c r="B13" s="13" t="n">
        <f aca="false">IF(OR(정원!B13="",정원!B13=0),"",현원!B13/정원!B13)</f>
        <v>0.788876873337244</v>
      </c>
      <c r="C13" s="13" t="n">
        <f aca="false">IF(OR(정원!C13="",정원!C13=0),"",현원!C13/정원!C13)</f>
        <v>0.826490586111706</v>
      </c>
      <c r="D13" s="13" t="n">
        <f aca="false">IF(OR(정원!D13="",정원!D13=0),"",현원!D13/정원!D13)</f>
        <v>0.839909648840363</v>
      </c>
      <c r="E13" s="13" t="n">
        <f aca="false">IF(OR(정원!E13="",정원!E13=0),"",현원!E13/정원!E13)</f>
        <v>0.877383373941033</v>
      </c>
      <c r="F13" s="13" t="n">
        <f aca="false">IF(OR(정원!F13="",정원!F13=0),"",현원!F13/정원!F13)</f>
        <v>0.841605343525991</v>
      </c>
      <c r="G13" s="13" t="n">
        <f aca="false">IF(OR(정원!G13="",정원!G13=0),"",현원!G13/정원!G13)</f>
        <v>0.841057999177613</v>
      </c>
      <c r="H13" s="13" t="n">
        <f aca="false">IF(OR(정원!H13="",정원!H13=0),"",현원!H13/정원!H13)</f>
        <v>0.820443345083109</v>
      </c>
      <c r="I13" s="13" t="n">
        <f aca="false">IF(OR(정원!I13="",정원!I13=0),"",현원!I13/정원!I13)</f>
        <v>0.836141006141584</v>
      </c>
      <c r="J13" s="13" t="n">
        <f aca="false">IF(OR(정원!J13="",정원!J13=0),"",현원!J13/정원!J13)</f>
        <v>0.847349899145959</v>
      </c>
      <c r="K13" s="13" t="n">
        <f aca="false">IF(OR(정원!K13="",정원!K13=0),"",현원!K13/정원!K13)</f>
        <v>0.841327552557694</v>
      </c>
      <c r="L13" s="13" t="n">
        <f aca="false">IF(OR(정원!L13="",정원!L13=0),"",현원!L13/정원!L13)</f>
        <v>0.837632345626377</v>
      </c>
      <c r="M13" s="13" t="n">
        <f aca="false">IF(OR(정원!M13="",정원!M13=0),"",현원!M13/정원!M13)</f>
        <v>0.787637524256074</v>
      </c>
      <c r="N13" s="13" t="n">
        <f aca="false">IF(OR(정원!N13="",정원!N13=0),"",현원!N13/정원!N13)</f>
        <v>0.792250756346636</v>
      </c>
      <c r="O13" s="13" t="n">
        <f aca="false">IF(OR(정원!O13="",정원!O13=0),"",현원!O13/정원!O13)</f>
        <v>0.781285866124938</v>
      </c>
      <c r="P13" s="13" t="n">
        <f aca="false">IF(OR(정원!P13="",정원!P13=0),"",현원!P13/정원!P13)</f>
        <v>0.757602410224015</v>
      </c>
      <c r="Q13" s="13" t="n">
        <f aca="false">IF(OR(정원!Q13="",정원!Q13=0),"",현원!Q13/정원!Q13)</f>
        <v>0.744364135683245</v>
      </c>
      <c r="R13" s="13" t="n">
        <f aca="false">IF(OR(정원!R13="",정원!R13=0),"",현원!R13/정원!R13)</f>
        <v>0.734038365791415</v>
      </c>
    </row>
    <row r="14" customFormat="false" ht="15" hidden="false" customHeight="false" outlineLevel="0" collapsed="false">
      <c r="A14" s="5" t="s">
        <v>30</v>
      </c>
      <c r="B14" s="13" t="n">
        <f aca="false">IF(OR(정원!B14="",정원!B14=0),"",현원!B14/정원!B14)</f>
        <v>0.783112686333785</v>
      </c>
      <c r="C14" s="13" t="n">
        <f aca="false">IF(OR(정원!C14="",정원!C14=0),"",현원!C14/정원!C14)</f>
        <v>0.7951932520654</v>
      </c>
      <c r="D14" s="13" t="n">
        <f aca="false">IF(OR(정원!D14="",정원!D14=0),"",현원!D14/정원!D14)</f>
        <v>0.803693596022281</v>
      </c>
      <c r="E14" s="13" t="n">
        <f aca="false">IF(OR(정원!E14="",정원!E14=0),"",현원!E14/정원!E14)</f>
        <v>0.817771378801614</v>
      </c>
      <c r="F14" s="13" t="n">
        <f aca="false">IF(OR(정원!F14="",정원!F14=0),"",현원!F14/정원!F14)</f>
        <v>0.793600253315977</v>
      </c>
      <c r="G14" s="13" t="n">
        <f aca="false">IF(OR(정원!G14="",정원!G14=0),"",현원!G14/정원!G14)</f>
        <v>0.784466569818942</v>
      </c>
      <c r="H14" s="13" t="n">
        <f aca="false">IF(OR(정원!H14="",정원!H14=0),"",현원!H14/정원!H14)</f>
        <v>0.758067410890556</v>
      </c>
      <c r="I14" s="13" t="n">
        <f aca="false">IF(OR(정원!I14="",정원!I14=0),"",현원!I14/정원!I14)</f>
        <v>0.767221732098221</v>
      </c>
      <c r="J14" s="13" t="n">
        <f aca="false">IF(OR(정원!J14="",정원!J14=0),"",현원!J14/정원!J14)</f>
        <v>0.76718785067704</v>
      </c>
      <c r="K14" s="13" t="n">
        <f aca="false">IF(OR(정원!K14="",정원!K14=0),"",현원!K14/정원!K14)</f>
        <v>0.767027395924734</v>
      </c>
      <c r="L14" s="13" t="n">
        <f aca="false">IF(OR(정원!L14="",정원!L14=0),"",현원!L14/정원!L14)</f>
        <v>0.759376502644655</v>
      </c>
      <c r="M14" s="13" t="n">
        <f aca="false">IF(OR(정원!M14="",정원!M14=0),"",현원!M14/정원!M14)</f>
        <v>0.728653454343397</v>
      </c>
      <c r="N14" s="13" t="n">
        <f aca="false">IF(OR(정원!N14="",정원!N14=0),"",현원!N14/정원!N14)</f>
        <v>0.736309308606793</v>
      </c>
      <c r="O14" s="13" t="n">
        <f aca="false">IF(OR(정원!O14="",정원!O14=0),"",현원!O14/정원!O14)</f>
        <v>0.718636613523914</v>
      </c>
      <c r="P14" s="13" t="n">
        <f aca="false">IF(OR(정원!P14="",정원!P14=0),"",현원!P14/정원!P14)</f>
        <v>0.705049232348686</v>
      </c>
      <c r="Q14" s="13" t="n">
        <f aca="false">IF(OR(정원!Q14="",정원!Q14=0),"",현원!Q14/정원!Q14)</f>
        <v>0.680804600490137</v>
      </c>
      <c r="R14" s="13" t="n">
        <f aca="false">IF(OR(정원!R14="",정원!R14=0),"",현원!R14/정원!R14)</f>
        <v>0.665531006076632</v>
      </c>
    </row>
    <row r="15" customFormat="false" ht="15" hidden="false" customHeight="false" outlineLevel="0" collapsed="false">
      <c r="A15" s="5" t="s">
        <v>31</v>
      </c>
      <c r="B15" s="13" t="n">
        <f aca="false">IF(OR(정원!B15="",정원!B15=0),"",현원!B15/정원!B15)</f>
        <v>0.756515092260106</v>
      </c>
      <c r="C15" s="13" t="n">
        <f aca="false">IF(OR(정원!C15="",정원!C15=0),"",현원!C15/정원!C15)</f>
        <v>0.789069069069069</v>
      </c>
      <c r="D15" s="13" t="n">
        <f aca="false">IF(OR(정원!D15="",정원!D15=0),"",현원!D15/정원!D15)</f>
        <v>0.81539501478665</v>
      </c>
      <c r="E15" s="13" t="n">
        <f aca="false">IF(OR(정원!E15="",정원!E15=0),"",현원!E15/정원!E15)</f>
        <v>0.835638902419224</v>
      </c>
      <c r="F15" s="13" t="n">
        <f aca="false">IF(OR(정원!F15="",정원!F15=0),"",현원!F15/정원!F15)</f>
        <v>0.820478490253272</v>
      </c>
      <c r="G15" s="13" t="n">
        <f aca="false">IF(OR(정원!G15="",정원!G15=0),"",현원!G15/정원!G15)</f>
        <v>0.814550574239884</v>
      </c>
      <c r="H15" s="13" t="n">
        <f aca="false">IF(OR(정원!H15="",정원!H15=0),"",현원!H15/정원!H15)</f>
        <v>0.782802157198786</v>
      </c>
      <c r="I15" s="13" t="n">
        <f aca="false">IF(OR(정원!I15="",정원!I15=0),"",현원!I15/정원!I15)</f>
        <v>0.792514419724916</v>
      </c>
      <c r="J15" s="13" t="n">
        <f aca="false">IF(OR(정원!J15="",정원!J15=0),"",현원!J15/정원!J15)</f>
        <v>0.797289955578281</v>
      </c>
      <c r="K15" s="13" t="n">
        <f aca="false">IF(OR(정원!K15="",정원!K15=0),"",현원!K15/정원!K15)</f>
        <v>0.796817565470259</v>
      </c>
      <c r="L15" s="13" t="n">
        <f aca="false">IF(OR(정원!L15="",정원!L15=0),"",현원!L15/정원!L15)</f>
        <v>0.786285828356595</v>
      </c>
      <c r="M15" s="13" t="n">
        <f aca="false">IF(OR(정원!M15="",정원!M15=0),"",현원!M15/정원!M15)</f>
        <v>0.746058318101843</v>
      </c>
      <c r="N15" s="13" t="n">
        <f aca="false">IF(OR(정원!N15="",정원!N15=0),"",현원!N15/정원!N15)</f>
        <v>0.737826665732502</v>
      </c>
      <c r="O15" s="13" t="n">
        <f aca="false">IF(OR(정원!O15="",정원!O15=0),"",현원!O15/정원!O15)</f>
        <v>0.715594979572307</v>
      </c>
      <c r="P15" s="13" t="n">
        <f aca="false">IF(OR(정원!P15="",정원!P15=0),"",현원!P15/정원!P15)</f>
        <v>0.689067220907184</v>
      </c>
      <c r="Q15" s="13" t="n">
        <f aca="false">IF(OR(정원!Q15="",정원!Q15=0),"",현원!Q15/정원!Q15)</f>
        <v>0.663234294397569</v>
      </c>
      <c r="R15" s="13" t="n">
        <f aca="false">IF(OR(정원!R15="",정원!R15=0),"",현원!R15/정원!R15)</f>
        <v>0.650838926174497</v>
      </c>
    </row>
    <row r="16" customFormat="false" ht="15" hidden="false" customHeight="false" outlineLevel="0" collapsed="false">
      <c r="A16" s="5" t="s">
        <v>32</v>
      </c>
      <c r="B16" s="13" t="n">
        <f aca="false">IF(OR(정원!B16="",정원!B16=0),"",현원!B16/정원!B16)</f>
        <v>0.785522183992668</v>
      </c>
      <c r="C16" s="13" t="n">
        <f aca="false">IF(OR(정원!C16="",정원!C16=0),"",현원!C16/정원!C16)</f>
        <v>0.811470960738194</v>
      </c>
      <c r="D16" s="13" t="n">
        <f aca="false">IF(OR(정원!D16="",정원!D16=0),"",현원!D16/정원!D16)</f>
        <v>0.808179436385712</v>
      </c>
      <c r="E16" s="13" t="n">
        <f aca="false">IF(OR(정원!E16="",정원!E16=0),"",현원!E16/정원!E16)</f>
        <v>0.833150587046779</v>
      </c>
      <c r="F16" s="13" t="n">
        <f aca="false">IF(OR(정원!F16="",정원!F16=0),"",현원!F16/정원!F16)</f>
        <v>0.78745205728162</v>
      </c>
      <c r="G16" s="13" t="n">
        <f aca="false">IF(OR(정원!G16="",정원!G16=0),"",현원!G16/정원!G16)</f>
        <v>0.796394244440653</v>
      </c>
      <c r="H16" s="13" t="n">
        <f aca="false">IF(OR(정원!H16="",정원!H16=0),"",현원!H16/정원!H16)</f>
        <v>0.785498834605365</v>
      </c>
      <c r="I16" s="13" t="n">
        <f aca="false">IF(OR(정원!I16="",정원!I16=0),"",현원!I16/정원!I16)</f>
        <v>0.79151024134193</v>
      </c>
      <c r="J16" s="13" t="n">
        <f aca="false">IF(OR(정원!J16="",정원!J16=0),"",현원!J16/정원!J16)</f>
        <v>0.797675109729334</v>
      </c>
      <c r="K16" s="13" t="n">
        <f aca="false">IF(OR(정원!K16="",정원!K16=0),"",현원!K16/정원!K16)</f>
        <v>0.794100918176647</v>
      </c>
      <c r="L16" s="13" t="n">
        <f aca="false">IF(OR(정원!L16="",정원!L16=0),"",현원!L16/정원!L16)</f>
        <v>0.7896779810634</v>
      </c>
      <c r="M16" s="13" t="n">
        <f aca="false">IF(OR(정원!M16="",정원!M16=0),"",현원!M16/정원!M16)</f>
        <v>0.742432388501982</v>
      </c>
      <c r="N16" s="13" t="n">
        <f aca="false">IF(OR(정원!N16="",정원!N16=0),"",현원!N16/정원!N16)</f>
        <v>0.738083730651166</v>
      </c>
      <c r="O16" s="13" t="n">
        <f aca="false">IF(OR(정원!O16="",정원!O16=0),"",현원!O16/정원!O16)</f>
        <v>0.716289282283519</v>
      </c>
      <c r="P16" s="13" t="n">
        <f aca="false">IF(OR(정원!P16="",정원!P16=0),"",현원!P16/정원!P16)</f>
        <v>0.698606995089407</v>
      </c>
      <c r="Q16" s="13" t="n">
        <f aca="false">IF(OR(정원!Q16="",정원!Q16=0),"",현원!Q16/정원!Q16)</f>
        <v>0.673139351341692</v>
      </c>
      <c r="R16" s="13" t="n">
        <f aca="false">IF(OR(정원!R16="",정원!R16=0),"",현원!R16/정원!R16)</f>
        <v>0.657509755452948</v>
      </c>
    </row>
    <row r="17" customFormat="false" ht="15" hidden="false" customHeight="false" outlineLevel="0" collapsed="false">
      <c r="A17" s="5" t="s">
        <v>33</v>
      </c>
      <c r="B17" s="13" t="n">
        <f aca="false">IF(OR(정원!B17="",정원!B17=0),"",현원!B17/정원!B17)</f>
        <v>0.764469795890317</v>
      </c>
      <c r="C17" s="13" t="n">
        <f aca="false">IF(OR(정원!C17="",정원!C17=0),"",현원!C17/정원!C17)</f>
        <v>0.777058419243986</v>
      </c>
      <c r="D17" s="13" t="n">
        <f aca="false">IF(OR(정원!D17="",정원!D17=0),"",현원!D17/정원!D17)</f>
        <v>0.785612104539202</v>
      </c>
      <c r="E17" s="13" t="n">
        <f aca="false">IF(OR(정원!E17="",정원!E17=0),"",현원!E17/정원!E17)</f>
        <v>0.81374451000997</v>
      </c>
      <c r="F17" s="13" t="n">
        <f aca="false">IF(OR(정원!F17="",정원!F17=0),"",현원!F17/정원!F17)</f>
        <v>0.785437810084995</v>
      </c>
      <c r="G17" s="13" t="n">
        <f aca="false">IF(OR(정원!G17="",정원!G17=0),"",현원!G17/정원!G17)</f>
        <v>0.774865493191631</v>
      </c>
      <c r="H17" s="13" t="n">
        <f aca="false">IF(OR(정원!H17="",정원!H17=0),"",현원!H17/정원!H17)</f>
        <v>0.748948981529198</v>
      </c>
      <c r="I17" s="13" t="n">
        <f aca="false">IF(OR(정원!I17="",정원!I17=0),"",현원!I17/정원!I17)</f>
        <v>0.747755260890112</v>
      </c>
      <c r="J17" s="13" t="n">
        <f aca="false">IF(OR(정원!J17="",정원!J17=0),"",현원!J17/정원!J17)</f>
        <v>0.748097631012204</v>
      </c>
      <c r="K17" s="13" t="n">
        <f aca="false">IF(OR(정원!K17="",정원!K17=0),"",현원!K17/정원!K17)</f>
        <v>0.752393359185652</v>
      </c>
      <c r="L17" s="13" t="n">
        <f aca="false">IF(OR(정원!L17="",정원!L17=0),"",현원!L17/정원!L17)</f>
        <v>0.749241901583583</v>
      </c>
      <c r="M17" s="13" t="n">
        <f aca="false">IF(OR(정원!M17="",정원!M17=0),"",현원!M17/정원!M17)</f>
        <v>0.707438378797586</v>
      </c>
      <c r="N17" s="13" t="n">
        <f aca="false">IF(OR(정원!N17="",정원!N17=0),"",현원!N17/정원!N17)</f>
        <v>0.704069651921027</v>
      </c>
      <c r="O17" s="13" t="n">
        <f aca="false">IF(OR(정원!O17="",정원!O17=0),"",현원!O17/정원!O17)</f>
        <v>0.672277189456597</v>
      </c>
      <c r="P17" s="13" t="n">
        <f aca="false">IF(OR(정원!P17="",정원!P17=0),"",현원!P17/정원!P17)</f>
        <v>0.660484782517688</v>
      </c>
      <c r="Q17" s="13" t="n">
        <f aca="false">IF(OR(정원!Q17="",정원!Q17=0),"",현원!Q17/정원!Q17)</f>
        <v>0.635111081811589</v>
      </c>
      <c r="R17" s="13" t="n">
        <f aca="false">IF(OR(정원!R17="",정원!R17=0),"",현원!R17/정원!R17)</f>
        <v>0.619197899149985</v>
      </c>
    </row>
    <row r="18" customFormat="false" ht="15" hidden="false" customHeight="false" outlineLevel="0" collapsed="false">
      <c r="A18" s="5" t="s">
        <v>34</v>
      </c>
      <c r="B18" s="13" t="n">
        <f aca="false">IF(OR(정원!B18="",정원!B18=0),"",현원!B18/정원!B18)</f>
        <v>0.779303736825295</v>
      </c>
      <c r="C18" s="13" t="n">
        <f aca="false">IF(OR(정원!C18="",정원!C18=0),"",현원!C18/정원!C18)</f>
        <v>0.800747725793513</v>
      </c>
      <c r="D18" s="13" t="n">
        <f aca="false">IF(OR(정원!D18="",정원!D18=0),"",현원!D18/정원!D18)</f>
        <v>0.809961743305078</v>
      </c>
      <c r="E18" s="13" t="n">
        <f aca="false">IF(OR(정원!E18="",정원!E18=0),"",현원!E18/정원!E18)</f>
        <v>0.822726544405762</v>
      </c>
      <c r="F18" s="13" t="n">
        <f aca="false">IF(OR(정원!F18="",정원!F18=0),"",현원!F18/정원!F18)</f>
        <v>0.807412821946081</v>
      </c>
      <c r="G18" s="13" t="n">
        <f aca="false">IF(OR(정원!G18="",정원!G18=0),"",현원!G18/정원!G18)</f>
        <v>0.791627276960196</v>
      </c>
      <c r="H18" s="13" t="n">
        <f aca="false">IF(OR(정원!H18="",정원!H18=0),"",현원!H18/정원!H18)</f>
        <v>0.771828479421485</v>
      </c>
      <c r="I18" s="13" t="n">
        <f aca="false">IF(OR(정원!I18="",정원!I18=0),"",현원!I18/정원!I18)</f>
        <v>0.772024893103594</v>
      </c>
      <c r="J18" s="13" t="n">
        <f aca="false">IF(OR(정원!J18="",정원!J18=0),"",현원!J18/정원!J18)</f>
        <v>0.765459514861633</v>
      </c>
      <c r="K18" s="13" t="n">
        <f aca="false">IF(OR(정원!K18="",정원!K18=0),"",현원!K18/정원!K18)</f>
        <v>0.748279137742053</v>
      </c>
      <c r="L18" s="13" t="n">
        <f aca="false">IF(OR(정원!L18="",정원!L18=0),"",현원!L18/정원!L18)</f>
        <v>0.724170845896274</v>
      </c>
      <c r="M18" s="13" t="n">
        <f aca="false">IF(OR(정원!M18="",정원!M18=0),"",현원!M18/정원!M18)</f>
        <v>0.713572225185473</v>
      </c>
      <c r="N18" s="13" t="n">
        <f aca="false">IF(OR(정원!N18="",정원!N18=0),"",현원!N18/정원!N18)</f>
        <v>0.707922036568402</v>
      </c>
      <c r="O18" s="13" t="n">
        <f aca="false">IF(OR(정원!O18="",정원!O18=0),"",현원!O18/정원!O18)</f>
        <v>0.694542080753653</v>
      </c>
      <c r="P18" s="13" t="n">
        <f aca="false">IF(OR(정원!P18="",정원!P18=0),"",현원!P18/정원!P18)</f>
        <v>0.672220320286051</v>
      </c>
      <c r="Q18" s="13" t="n">
        <f aca="false">IF(OR(정원!Q18="",정원!Q18=0),"",현원!Q18/정원!Q18)</f>
        <v>0.641446068747531</v>
      </c>
      <c r="R18" s="13" t="n">
        <f aca="false">IF(OR(정원!R18="",정원!R18=0),"",현원!R18/정원!R18)</f>
        <v>0.633654580349588</v>
      </c>
    </row>
    <row r="19" customFormat="false" ht="15" hidden="false" customHeight="false" outlineLevel="0" collapsed="false">
      <c r="A19" s="5" t="s">
        <v>35</v>
      </c>
      <c r="B19" s="13" t="n">
        <f aca="false">IF(OR(정원!B19="",정원!B19=0),"",현원!B19/정원!B19)</f>
        <v>0.748540484664811</v>
      </c>
      <c r="C19" s="13" t="n">
        <f aca="false">IF(OR(정원!C19="",정원!C19=0),"",현원!C19/정원!C19)</f>
        <v>0.780069694244604</v>
      </c>
      <c r="D19" s="13" t="n">
        <f aca="false">IF(OR(정원!D19="",정원!D19=0),"",현원!D19/정원!D19)</f>
        <v>0.770052963053741</v>
      </c>
      <c r="E19" s="13" t="n">
        <f aca="false">IF(OR(정원!E19="",정원!E19=0),"",현원!E19/정원!E19)</f>
        <v>0.79912419060269</v>
      </c>
      <c r="F19" s="13" t="n">
        <f aca="false">IF(OR(정원!F19="",정원!F19=0),"",현원!F19/정원!F19)</f>
        <v>0.754170540101544</v>
      </c>
      <c r="G19" s="13" t="n">
        <f aca="false">IF(OR(정원!G19="",정원!G19=0),"",현원!G19/정원!G19)</f>
        <v>0.766336861481822</v>
      </c>
      <c r="H19" s="13" t="n">
        <f aca="false">IF(OR(정원!H19="",정원!H19=0),"",현원!H19/정원!H19)</f>
        <v>0.754006256783503</v>
      </c>
      <c r="I19" s="13" t="n">
        <f aca="false">IF(OR(정원!I19="",정원!I19=0),"",현원!I19/정원!I19)</f>
        <v>0.755827567855242</v>
      </c>
      <c r="J19" s="13" t="n">
        <f aca="false">IF(OR(정원!J19="",정원!J19=0),"",현원!J19/정원!J19)</f>
        <v>0.76509943994216</v>
      </c>
      <c r="K19" s="13" t="n">
        <f aca="false">IF(OR(정원!K19="",정원!K19=0),"",현원!K19/정원!K19)</f>
        <v>0.758959802420572</v>
      </c>
      <c r="L19" s="13" t="n">
        <f aca="false">IF(OR(정원!L19="",정원!L19=0),"",현원!L19/정원!L19)</f>
        <v>0.749354307151121</v>
      </c>
      <c r="M19" s="13" t="n">
        <f aca="false">IF(OR(정원!M19="",정원!M19=0),"",현원!M19/정원!M19)</f>
        <v>0.714168332495309</v>
      </c>
      <c r="N19" s="13" t="n">
        <f aca="false">IF(OR(정원!N19="",정원!N19=0),"",현원!N19/정원!N19)</f>
        <v>0.707969390121357</v>
      </c>
      <c r="O19" s="13" t="n">
        <f aca="false">IF(OR(정원!O19="",정원!O19=0),"",현원!O19/정원!O19)</f>
        <v>0.678212955656159</v>
      </c>
      <c r="P19" s="13" t="n">
        <f aca="false">IF(OR(정원!P19="",정원!P19=0),"",현원!P19/정원!P19)</f>
        <v>0.662896764252697</v>
      </c>
      <c r="Q19" s="13" t="n">
        <f aca="false">IF(OR(정원!Q19="",정원!Q19=0),"",현원!Q19/정원!Q19)</f>
        <v>0.636858065792076</v>
      </c>
      <c r="R19" s="13" t="n">
        <f aca="false">IF(OR(정원!R19="",정원!R19=0),"",현원!R19/정원!R19)</f>
        <v>0.633347414369698</v>
      </c>
    </row>
    <row r="20" customFormat="false" ht="15" hidden="false" customHeight="false" outlineLevel="0" collapsed="false">
      <c r="A20" s="5" t="s">
        <v>36</v>
      </c>
      <c r="B20" s="13" t="n">
        <f aca="false">IF(OR(정원!B20="",정원!B20=0),"",현원!B20/정원!B20)</f>
        <v>0.76886404734506</v>
      </c>
      <c r="C20" s="13" t="n">
        <f aca="false">IF(OR(정원!C20="",정원!C20=0),"",현원!C20/정원!C20)</f>
        <v>0.787274542316673</v>
      </c>
      <c r="D20" s="13" t="n">
        <f aca="false">IF(OR(정원!D20="",정원!D20=0),"",현원!D20/정원!D20)</f>
        <v>0.796124616398078</v>
      </c>
      <c r="E20" s="13" t="n">
        <f aca="false">IF(OR(정원!E20="",정원!E20=0),"",현원!E20/정원!E20)</f>
        <v>0.842415009125499</v>
      </c>
      <c r="F20" s="13" t="n">
        <f aca="false">IF(OR(정원!F20="",정원!F20=0),"",현원!F20/정원!F20)</f>
        <v>0.802817325120522</v>
      </c>
      <c r="G20" s="13" t="n">
        <f aca="false">IF(OR(정원!G20="",정원!G20=0),"",현원!G20/정원!G20)</f>
        <v>0.811694843998679</v>
      </c>
      <c r="H20" s="13" t="n">
        <f aca="false">IF(OR(정원!H20="",정원!H20=0),"",현원!H20/정원!H20)</f>
        <v>0.805655684383729</v>
      </c>
      <c r="I20" s="13" t="n">
        <f aca="false">IF(OR(정원!I20="",정원!I20=0),"",현원!I20/정원!I20)</f>
        <v>0.815409385430984</v>
      </c>
      <c r="J20" s="13" t="n">
        <f aca="false">IF(OR(정원!J20="",정원!J20=0),"",현원!J20/정원!J20)</f>
        <v>0.820799138974842</v>
      </c>
      <c r="K20" s="13" t="n">
        <f aca="false">IF(OR(정원!K20="",정원!K20=0),"",현원!K20/정원!K20)</f>
        <v>0.797944246690397</v>
      </c>
      <c r="L20" s="13" t="n">
        <f aca="false">IF(OR(정원!L20="",정원!L20=0),"",현원!L20/정원!L20)</f>
        <v>0.784345876487025</v>
      </c>
      <c r="M20" s="13" t="n">
        <f aca="false">IF(OR(정원!M20="",정원!M20=0),"",현원!M20/정원!M20)</f>
        <v>0.752679631232764</v>
      </c>
      <c r="N20" s="13" t="n">
        <f aca="false">IF(OR(정원!N20="",정원!N20=0),"",현원!N20/정원!N20)</f>
        <v>0.737375456109504</v>
      </c>
      <c r="O20" s="13" t="n">
        <f aca="false">IF(OR(정원!O20="",정원!O20=0),"",현원!O20/정원!O20)</f>
        <v>0.711365773511207</v>
      </c>
      <c r="P20" s="13" t="n">
        <f aca="false">IF(OR(정원!P20="",정원!P20=0),"",현원!P20/정원!P20)</f>
        <v>0.672883755166752</v>
      </c>
      <c r="Q20" s="13" t="n">
        <f aca="false">IF(OR(정원!Q20="",정원!Q20=0),"",현원!Q20/정원!Q20)</f>
        <v>0.654606600391737</v>
      </c>
      <c r="R20" s="13" t="n">
        <f aca="false">IF(OR(정원!R20="",정원!R20=0),"",현원!R20/정원!R20)</f>
        <v>0.629183800947374</v>
      </c>
    </row>
    <row r="21" customFormat="false" ht="15" hidden="false" customHeight="false" outlineLevel="0" collapsed="false">
      <c r="A21" s="5" t="s">
        <v>37</v>
      </c>
      <c r="B21" s="13" t="n">
        <f aca="false">IF(OR(정원!B21="",정원!B21=0),"",현원!B21/정원!B21)</f>
        <v>0.840977939342101</v>
      </c>
      <c r="C21" s="13" t="n">
        <f aca="false">IF(OR(정원!C21="",정원!C21=0),"",현원!C21/정원!C21)</f>
        <v>0.849332420403971</v>
      </c>
      <c r="D21" s="13" t="n">
        <f aca="false">IF(OR(정원!D21="",정원!D21=0),"",현원!D21/정원!D21)</f>
        <v>0.835396201702685</v>
      </c>
      <c r="E21" s="13" t="n">
        <f aca="false">IF(OR(정원!E21="",정원!E21=0),"",현원!E21/정원!E21)</f>
        <v>0.831961888263317</v>
      </c>
      <c r="F21" s="13" t="n">
        <f aca="false">IF(OR(정원!F21="",정원!F21=0),"",현원!F21/정원!F21)</f>
        <v>0.821334940485159</v>
      </c>
      <c r="G21" s="13" t="n">
        <f aca="false">IF(OR(정원!G21="",정원!G21=0),"",현원!G21/정원!G21)</f>
        <v>0.830137235299464</v>
      </c>
      <c r="H21" s="13" t="n">
        <f aca="false">IF(OR(정원!H21="",정원!H21=0),"",현원!H21/정원!H21)</f>
        <v>0.825738653670423</v>
      </c>
      <c r="I21" s="13" t="n">
        <f aca="false">IF(OR(정원!I21="",정원!I21=0),"",현원!I21/정원!I21)</f>
        <v>0.873460354118553</v>
      </c>
      <c r="J21" s="13" t="n">
        <f aca="false">IF(OR(정원!J21="",정원!J21=0),"",현원!J21/정원!J21)</f>
        <v>0.890602993678556</v>
      </c>
      <c r="K21" s="13" t="n">
        <f aca="false">IF(OR(정원!K21="",정원!K21=0),"",현원!K21/정원!K21)</f>
        <v>0.883405676126878</v>
      </c>
      <c r="L21" s="13" t="n">
        <f aca="false">IF(OR(정원!L21="",정원!L21=0),"",현원!L21/정원!L21)</f>
        <v>0.851595241314046</v>
      </c>
      <c r="M21" s="13" t="n">
        <f aca="false">IF(OR(정원!M21="",정원!M21=0),"",현원!M21/정원!M21)</f>
        <v>0.821070407002791</v>
      </c>
      <c r="N21" s="13" t="n">
        <f aca="false">IF(OR(정원!N21="",정원!N21=0),"",현원!N21/정원!N21)</f>
        <v>0.809803780118309</v>
      </c>
      <c r="O21" s="13" t="n">
        <f aca="false">IF(OR(정원!O21="",정원!O21=0),"",현원!O21/정원!O21)</f>
        <v>0.78929539295393</v>
      </c>
      <c r="P21" s="13" t="n">
        <f aca="false">IF(OR(정원!P21="",정원!P21=0),"",현원!P21/정원!P21)</f>
        <v>0.757276178424549</v>
      </c>
      <c r="Q21" s="13" t="n">
        <f aca="false">IF(OR(정원!Q21="",정원!Q21=0),"",현원!Q21/정원!Q21)</f>
        <v>0.712844488188976</v>
      </c>
      <c r="R21" s="13" t="n">
        <f aca="false">IF(OR(정원!R21="",정원!R21=0),"",현원!R21/정원!R21)</f>
        <v>0.688407041648776</v>
      </c>
    </row>
    <row r="22" customFormat="false" ht="15" hidden="false" customHeight="false" outlineLevel="0" collapsed="false">
      <c r="A22" s="8" t="s">
        <v>38</v>
      </c>
      <c r="B22" s="13" t="n">
        <f aca="false">IF(OR(정원!B22="",정원!B22=0),"",현원!B22/정원!B22)</f>
        <v>0.792658066291783</v>
      </c>
      <c r="C22" s="13" t="n">
        <f aca="false">IF(OR(정원!C22="",정원!C22=0),"",현원!C22/정원!C22)</f>
        <v>0.822137347701194</v>
      </c>
      <c r="D22" s="13" t="n">
        <f aca="false">IF(OR(정원!D22="",정원!D22=0),"",현원!D22/정원!D22)</f>
        <v>0.831548853600732</v>
      </c>
      <c r="E22" s="13" t="n">
        <f aca="false">IF(OR(정원!E22="",정원!E22=0),"",현원!E22/정원!E22)</f>
        <v>0.863782052212737</v>
      </c>
      <c r="F22" s="13" t="n">
        <f aca="false">IF(OR(정원!F22="",정원!F22=0),"",현원!F22/정원!F22)</f>
        <v>0.834229567131698</v>
      </c>
      <c r="G22" s="13" t="n">
        <f aca="false">IF(OR(정원!G22="",정원!G22=0),"",현원!G22/정원!G22)</f>
        <v>0.831179584807562</v>
      </c>
      <c r="H22" s="13" t="n">
        <f aca="false">IF(OR(정원!H22="",정원!H22=0),"",현원!H22/정원!H22)</f>
        <v>0.811255284587349</v>
      </c>
      <c r="I22" s="13" t="n">
        <f aca="false">IF(OR(정원!I22="",정원!I22=0),"",현원!I22/정원!I22)</f>
        <v>0.821183392710828</v>
      </c>
      <c r="J22" s="13" t="n">
        <f aca="false">IF(OR(정원!J22="",정원!J22=0),"",현원!J22/정원!J22)</f>
        <v>0.825595197093481</v>
      </c>
      <c r="K22" s="13" t="n">
        <f aca="false">IF(OR(정원!K22="",정원!K22=0),"",현원!K22/정원!K22)</f>
        <v>0.817250121801695</v>
      </c>
      <c r="L22" s="13" t="n">
        <f aca="false">IF(OR(정원!L22="",정원!L22=0),"",현원!L22/정원!L22)</f>
        <v>0.809239936853575</v>
      </c>
      <c r="M22" s="13" t="n">
        <f aca="false">IF(OR(정원!M22="",정원!M22=0),"",현원!M22/정원!M22)</f>
        <v>0.764248952869935</v>
      </c>
      <c r="N22" s="13" t="n">
        <f aca="false">IF(OR(정원!N22="",정원!N22=0),"",현원!N22/정원!N22)</f>
        <v>0.760654280974076</v>
      </c>
      <c r="O22" s="13" t="n">
        <f aca="false">IF(OR(정원!O22="",정원!O22=0),"",현원!O22/정원!O22)</f>
        <v>0.741830016672468</v>
      </c>
      <c r="P22" s="13" t="n">
        <f aca="false">IF(OR(정원!P22="",정원!P22=0),"",현원!P22/정원!P22)</f>
        <v>0.721980962438635</v>
      </c>
      <c r="Q22" s="13" t="n">
        <f aca="false">IF(OR(정원!Q22="",정원!Q22=0),"",현원!Q22/정원!Q22)</f>
        <v>0.702419320536652</v>
      </c>
      <c r="R22" s="13" t="n">
        <f aca="false">IF(OR(정원!R22="",정원!R22=0),"",현원!R22/정원!R22)</f>
        <v>0.690849722030269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9" min="2" style="0" width="11"/>
  </cols>
  <sheetData>
    <row r="1" customFormat="false" ht="19.4" hidden="false" customHeight="false" outlineLevel="0" collapsed="false">
      <c r="A1" s="1" t="s">
        <v>49</v>
      </c>
    </row>
    <row r="2" customFormat="false" ht="15" hidden="false" customHeight="false" outlineLevel="0" collapsed="false">
      <c r="A2" s="10" t="s">
        <v>50</v>
      </c>
    </row>
    <row r="4" customFormat="false" ht="15" hidden="false" customHeight="false" outlineLevel="0" collapsed="false">
      <c r="A4" s="3" t="s">
        <v>2</v>
      </c>
      <c r="B4" s="4" t="s">
        <v>51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</row>
    <row r="5" customFormat="false" ht="15" hidden="false" customHeight="false" outlineLevel="0" collapsed="false">
      <c r="A5" s="5" t="s">
        <v>21</v>
      </c>
      <c r="B5" s="6" t="n">
        <v>96241</v>
      </c>
      <c r="C5" s="6" t="n">
        <v>91029</v>
      </c>
      <c r="D5" s="6" t="n">
        <v>94080</v>
      </c>
      <c r="E5" s="6" t="n">
        <v>93585</v>
      </c>
      <c r="F5" s="6" t="n">
        <v>95094</v>
      </c>
      <c r="G5" s="6" t="n">
        <v>86119</v>
      </c>
      <c r="H5" s="6" t="n">
        <v>84223</v>
      </c>
      <c r="I5" s="6" t="n">
        <v>84184</v>
      </c>
      <c r="J5" s="6" t="n">
        <v>76718</v>
      </c>
      <c r="K5" s="6" t="n">
        <v>66282</v>
      </c>
      <c r="L5" s="6" t="n">
        <v>59553</v>
      </c>
      <c r="M5" s="6" t="n">
        <v>54782</v>
      </c>
      <c r="N5" s="6" t="n">
        <v>48055</v>
      </c>
      <c r="O5" s="6" t="n">
        <v>45999</v>
      </c>
      <c r="P5" s="6" t="n">
        <v>43741</v>
      </c>
      <c r="Q5" s="6" t="n">
        <v>40654</v>
      </c>
      <c r="R5" s="6" t="n">
        <v>42588</v>
      </c>
      <c r="S5" s="6" t="n">
        <v>46401</v>
      </c>
    </row>
    <row r="6" customFormat="false" ht="15" hidden="false" customHeight="false" outlineLevel="0" collapsed="false">
      <c r="A6" s="5" t="s">
        <v>22</v>
      </c>
      <c r="B6" s="6" t="n">
        <v>26759</v>
      </c>
      <c r="C6" s="6" t="n">
        <v>25338</v>
      </c>
      <c r="D6" s="6" t="n">
        <v>27228</v>
      </c>
      <c r="E6" s="6" t="n">
        <v>28101</v>
      </c>
      <c r="F6" s="6" t="n">
        <v>28956</v>
      </c>
      <c r="G6" s="6" t="n">
        <v>26405</v>
      </c>
      <c r="H6" s="6" t="n">
        <v>26412</v>
      </c>
      <c r="I6" s="6" t="n">
        <v>26979</v>
      </c>
      <c r="J6" s="6" t="n">
        <v>25295</v>
      </c>
      <c r="K6" s="6" t="n">
        <v>21796</v>
      </c>
      <c r="L6" s="6" t="n">
        <v>19692</v>
      </c>
      <c r="M6" s="6" t="n">
        <v>17382</v>
      </c>
      <c r="N6" s="6" t="n">
        <v>15294</v>
      </c>
      <c r="O6" s="6" t="n">
        <v>14545</v>
      </c>
      <c r="P6" s="6" t="n">
        <v>14432</v>
      </c>
      <c r="Q6" s="6" t="n">
        <v>13172</v>
      </c>
      <c r="R6" s="6" t="n">
        <v>13266</v>
      </c>
      <c r="S6" s="6" t="n">
        <v>14146</v>
      </c>
    </row>
    <row r="7" customFormat="false" ht="15" hidden="false" customHeight="false" outlineLevel="0" collapsed="false">
      <c r="A7" s="5" t="s">
        <v>23</v>
      </c>
      <c r="B7" s="6" t="n">
        <v>20680</v>
      </c>
      <c r="C7" s="6" t="n">
        <v>19456</v>
      </c>
      <c r="D7" s="6" t="n">
        <v>20486</v>
      </c>
      <c r="E7" s="6" t="n">
        <v>20882</v>
      </c>
      <c r="F7" s="6" t="n">
        <v>21612</v>
      </c>
      <c r="G7" s="6" t="n">
        <v>19629</v>
      </c>
      <c r="H7" s="6" t="n">
        <v>19509</v>
      </c>
      <c r="I7" s="6" t="n">
        <v>19665</v>
      </c>
      <c r="J7" s="6" t="n">
        <v>18511</v>
      </c>
      <c r="K7" s="6" t="n">
        <v>16185</v>
      </c>
      <c r="L7" s="6" t="n">
        <v>14674</v>
      </c>
      <c r="M7" s="6" t="n">
        <v>13465</v>
      </c>
      <c r="N7" s="6" t="n">
        <v>11351</v>
      </c>
      <c r="O7" s="6" t="n">
        <v>10721</v>
      </c>
      <c r="P7" s="6" t="n">
        <v>10337</v>
      </c>
      <c r="Q7" s="6" t="n">
        <v>9584</v>
      </c>
      <c r="R7" s="6" t="n">
        <v>10213</v>
      </c>
      <c r="S7" s="6" t="n">
        <v>10978</v>
      </c>
    </row>
    <row r="8" customFormat="false" ht="15" hidden="false" customHeight="false" outlineLevel="0" collapsed="false">
      <c r="A8" s="5" t="s">
        <v>24</v>
      </c>
      <c r="B8" s="6" t="n">
        <v>25565</v>
      </c>
      <c r="C8" s="6" t="n">
        <v>24559</v>
      </c>
      <c r="D8" s="6" t="n">
        <v>25758</v>
      </c>
      <c r="E8" s="6" t="n">
        <v>26408</v>
      </c>
      <c r="F8" s="6" t="n">
        <v>28052</v>
      </c>
      <c r="G8" s="6" t="n">
        <v>26115</v>
      </c>
      <c r="H8" s="6" t="n">
        <v>26115</v>
      </c>
      <c r="I8" s="6" t="n">
        <v>25706</v>
      </c>
      <c r="J8" s="6" t="n">
        <v>23865</v>
      </c>
      <c r="K8" s="6" t="n">
        <v>20804</v>
      </c>
      <c r="L8" s="6" t="n">
        <v>20395</v>
      </c>
      <c r="M8" s="6" t="n">
        <v>18902</v>
      </c>
      <c r="N8" s="6" t="n">
        <v>16240</v>
      </c>
      <c r="O8" s="6" t="n">
        <v>15122</v>
      </c>
      <c r="P8" s="6" t="n">
        <v>14786</v>
      </c>
      <c r="Q8" s="6" t="n">
        <v>13898</v>
      </c>
      <c r="R8" s="6" t="n">
        <v>15475</v>
      </c>
      <c r="S8" s="6" t="n">
        <v>16786</v>
      </c>
    </row>
    <row r="9" customFormat="false" ht="15" hidden="false" customHeight="false" outlineLevel="0" collapsed="false">
      <c r="A9" s="5" t="s">
        <v>25</v>
      </c>
      <c r="B9" s="6" t="n">
        <v>13856</v>
      </c>
      <c r="C9" s="6" t="n">
        <v>13177</v>
      </c>
      <c r="D9" s="6" t="n">
        <v>13847</v>
      </c>
      <c r="E9" s="6" t="n">
        <v>14121</v>
      </c>
      <c r="F9" s="6" t="n">
        <v>14500</v>
      </c>
      <c r="G9" s="6" t="n">
        <v>12993</v>
      </c>
      <c r="H9" s="6" t="n">
        <v>12793</v>
      </c>
      <c r="I9" s="6" t="n">
        <v>12634</v>
      </c>
      <c r="J9" s="6" t="n">
        <v>11740</v>
      </c>
      <c r="K9" s="6" t="n">
        <v>10281</v>
      </c>
      <c r="L9" s="6" t="n">
        <v>9345</v>
      </c>
      <c r="M9" s="6" t="n">
        <v>8461</v>
      </c>
      <c r="N9" s="6" t="n">
        <v>7410</v>
      </c>
      <c r="O9" s="6" t="n">
        <v>8040</v>
      </c>
      <c r="P9" s="6" t="n">
        <v>7521</v>
      </c>
      <c r="Q9" s="6" t="n">
        <v>6246</v>
      </c>
      <c r="R9" s="6" t="n">
        <v>6109</v>
      </c>
      <c r="S9" s="6" t="n">
        <v>6568</v>
      </c>
    </row>
    <row r="10" customFormat="false" ht="15" hidden="false" customHeight="false" outlineLevel="0" collapsed="false">
      <c r="A10" s="5" t="s">
        <v>26</v>
      </c>
      <c r="B10" s="6" t="n">
        <v>14874</v>
      </c>
      <c r="C10" s="6" t="n">
        <v>13896</v>
      </c>
      <c r="D10" s="6" t="n">
        <v>14243</v>
      </c>
      <c r="E10" s="6" t="n">
        <v>14930</v>
      </c>
      <c r="F10" s="6" t="n">
        <v>15288</v>
      </c>
      <c r="G10" s="6" t="n">
        <v>14384</v>
      </c>
      <c r="H10" s="6" t="n">
        <v>14054</v>
      </c>
      <c r="I10" s="6" t="n">
        <v>13943</v>
      </c>
      <c r="J10" s="6" t="n">
        <v>12577</v>
      </c>
      <c r="K10" s="6" t="n">
        <v>11006</v>
      </c>
      <c r="L10" s="6" t="n">
        <v>9572</v>
      </c>
      <c r="M10" s="6" t="n">
        <v>8638</v>
      </c>
      <c r="N10" s="6" t="n">
        <v>7591</v>
      </c>
      <c r="O10" s="6" t="n">
        <v>7464</v>
      </c>
      <c r="P10" s="6" t="n">
        <v>7824</v>
      </c>
      <c r="Q10" s="6" t="n">
        <v>7294</v>
      </c>
      <c r="R10" s="6" t="n">
        <v>7379</v>
      </c>
      <c r="S10" s="6" t="n">
        <v>7809</v>
      </c>
    </row>
    <row r="11" customFormat="false" ht="15" hidden="false" customHeight="false" outlineLevel="0" collapsed="false">
      <c r="A11" s="5" t="s">
        <v>27</v>
      </c>
      <c r="B11" s="6" t="n">
        <v>11464</v>
      </c>
      <c r="C11" s="6" t="n">
        <v>11020</v>
      </c>
      <c r="D11" s="6" t="n">
        <v>11455</v>
      </c>
      <c r="E11" s="6" t="n">
        <v>11620</v>
      </c>
      <c r="F11" s="6" t="n">
        <v>12151</v>
      </c>
      <c r="G11" s="6" t="n">
        <v>11523</v>
      </c>
      <c r="H11" s="6" t="n">
        <v>11602</v>
      </c>
      <c r="I11" s="6" t="n">
        <v>11856</v>
      </c>
      <c r="J11" s="6" t="n">
        <v>11030</v>
      </c>
      <c r="K11" s="6" t="n">
        <v>9562</v>
      </c>
      <c r="L11" s="6" t="n">
        <v>8285</v>
      </c>
      <c r="M11" s="6" t="n">
        <v>7637</v>
      </c>
      <c r="N11" s="6" t="n">
        <v>6711</v>
      </c>
      <c r="O11" s="6" t="n">
        <v>6169</v>
      </c>
      <c r="P11" s="6" t="n">
        <v>5509</v>
      </c>
      <c r="Q11" s="6" t="n">
        <v>5145</v>
      </c>
      <c r="R11" s="6" t="n">
        <v>5357</v>
      </c>
      <c r="S11" s="6" t="n">
        <v>5659</v>
      </c>
    </row>
    <row r="12" customFormat="false" ht="15" hidden="false" customHeight="false" outlineLevel="0" collapsed="false">
      <c r="A12" s="5" t="s">
        <v>28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586</v>
      </c>
      <c r="G12" s="6" t="n">
        <v>1128</v>
      </c>
      <c r="H12" s="6" t="n">
        <v>1343</v>
      </c>
      <c r="I12" s="6" t="n">
        <v>2684</v>
      </c>
      <c r="J12" s="6" t="n">
        <v>3327</v>
      </c>
      <c r="K12" s="6" t="n">
        <v>3502</v>
      </c>
      <c r="L12" s="6" t="n">
        <v>3793</v>
      </c>
      <c r="M12" s="6" t="n">
        <v>3895</v>
      </c>
      <c r="N12" s="6" t="n">
        <v>3500</v>
      </c>
      <c r="O12" s="6" t="n">
        <v>3592</v>
      </c>
      <c r="P12" s="6" t="n">
        <v>3295</v>
      </c>
      <c r="Q12" s="6" t="n">
        <v>2802</v>
      </c>
      <c r="R12" s="6" t="n">
        <v>2934</v>
      </c>
      <c r="S12" s="6" t="n">
        <v>2983</v>
      </c>
    </row>
    <row r="13" customFormat="false" ht="15" hidden="false" customHeight="false" outlineLevel="0" collapsed="false">
      <c r="A13" s="5" t="s">
        <v>29</v>
      </c>
      <c r="B13" s="6" t="n">
        <v>120447</v>
      </c>
      <c r="C13" s="6" t="n">
        <v>114087</v>
      </c>
      <c r="D13" s="6" t="n">
        <v>121601</v>
      </c>
      <c r="E13" s="6" t="n">
        <v>123815</v>
      </c>
      <c r="F13" s="6" t="n">
        <v>125817</v>
      </c>
      <c r="G13" s="6" t="n">
        <v>114721</v>
      </c>
      <c r="H13" s="6" t="n">
        <v>113397</v>
      </c>
      <c r="I13" s="6" t="n">
        <v>115128</v>
      </c>
      <c r="J13" s="6" t="n">
        <v>107305</v>
      </c>
      <c r="K13" s="6" t="n">
        <v>95547</v>
      </c>
      <c r="L13" s="6" t="n">
        <v>90144</v>
      </c>
      <c r="M13" s="6" t="n">
        <v>85217</v>
      </c>
      <c r="N13" s="6" t="n">
        <v>78587</v>
      </c>
      <c r="O13" s="6" t="n">
        <v>76946</v>
      </c>
      <c r="P13" s="6" t="n">
        <v>77090</v>
      </c>
      <c r="Q13" s="6" t="n">
        <v>70541</v>
      </c>
      <c r="R13" s="6" t="n">
        <v>72575</v>
      </c>
      <c r="S13" s="6" t="n">
        <v>77702</v>
      </c>
    </row>
    <row r="14" customFormat="false" ht="15" hidden="false" customHeight="false" outlineLevel="0" collapsed="false">
      <c r="A14" s="5" t="s">
        <v>30</v>
      </c>
      <c r="B14" s="6" t="n">
        <v>12524</v>
      </c>
      <c r="C14" s="6" t="n">
        <v>12179</v>
      </c>
      <c r="D14" s="6" t="n">
        <v>12521</v>
      </c>
      <c r="E14" s="6" t="n">
        <v>12564</v>
      </c>
      <c r="F14" s="6" t="n">
        <v>12575</v>
      </c>
      <c r="G14" s="6" t="n">
        <v>11193</v>
      </c>
      <c r="H14" s="6" t="n">
        <v>10775</v>
      </c>
      <c r="I14" s="6" t="n">
        <v>11023</v>
      </c>
      <c r="J14" s="6" t="n">
        <v>10208</v>
      </c>
      <c r="K14" s="6" t="n">
        <v>9127</v>
      </c>
      <c r="L14" s="6" t="n">
        <v>8494</v>
      </c>
      <c r="M14" s="6" t="n">
        <v>8453</v>
      </c>
      <c r="N14" s="6" t="n">
        <v>7916</v>
      </c>
      <c r="O14" s="6" t="n">
        <v>7417</v>
      </c>
      <c r="P14" s="6" t="n">
        <v>7429</v>
      </c>
      <c r="Q14" s="6" t="n">
        <v>6806</v>
      </c>
      <c r="R14" s="6" t="n">
        <v>6661</v>
      </c>
      <c r="S14" s="6" t="n">
        <v>6783</v>
      </c>
    </row>
    <row r="15" customFormat="false" ht="15" hidden="false" customHeight="false" outlineLevel="0" collapsed="false">
      <c r="A15" s="5" t="s">
        <v>31</v>
      </c>
      <c r="B15" s="6" t="n">
        <v>14246</v>
      </c>
      <c r="C15" s="6" t="n">
        <v>13993</v>
      </c>
      <c r="D15" s="6" t="n">
        <v>14688</v>
      </c>
      <c r="E15" s="6" t="n">
        <v>14941</v>
      </c>
      <c r="F15" s="6" t="n">
        <v>15233</v>
      </c>
      <c r="G15" s="6" t="n">
        <v>13982</v>
      </c>
      <c r="H15" s="6" t="n">
        <v>13562</v>
      </c>
      <c r="I15" s="6" t="n">
        <v>13775</v>
      </c>
      <c r="J15" s="6" t="n">
        <v>12906</v>
      </c>
      <c r="K15" s="6" t="n">
        <v>11524</v>
      </c>
      <c r="L15" s="6" t="n">
        <v>10843</v>
      </c>
      <c r="M15" s="6" t="n">
        <v>9362</v>
      </c>
      <c r="N15" s="6" t="n">
        <v>8748</v>
      </c>
      <c r="O15" s="6" t="n">
        <v>8330</v>
      </c>
      <c r="P15" s="6" t="n">
        <v>7576</v>
      </c>
      <c r="Q15" s="6" t="n">
        <v>7693</v>
      </c>
      <c r="R15" s="6" t="n">
        <v>7639</v>
      </c>
      <c r="S15" s="6" t="n">
        <v>8336</v>
      </c>
    </row>
    <row r="16" customFormat="false" ht="15" hidden="false" customHeight="false" outlineLevel="0" collapsed="false">
      <c r="A16" s="5" t="s">
        <v>32</v>
      </c>
      <c r="B16" s="6" t="n">
        <v>19937</v>
      </c>
      <c r="C16" s="6" t="n">
        <v>19364</v>
      </c>
      <c r="D16" s="6" t="n">
        <v>20533</v>
      </c>
      <c r="E16" s="6" t="n">
        <v>21013</v>
      </c>
      <c r="F16" s="6" t="n">
        <v>21086</v>
      </c>
      <c r="G16" s="6" t="n">
        <v>18995</v>
      </c>
      <c r="H16" s="6" t="n">
        <v>18370</v>
      </c>
      <c r="I16" s="6" t="n">
        <v>18840</v>
      </c>
      <c r="J16" s="6" t="n">
        <v>17487</v>
      </c>
      <c r="K16" s="6" t="n">
        <v>15807</v>
      </c>
      <c r="L16" s="6" t="n">
        <v>14726</v>
      </c>
      <c r="M16" s="6" t="n">
        <v>13467</v>
      </c>
      <c r="N16" s="6" t="n">
        <v>12123</v>
      </c>
      <c r="O16" s="6" t="n">
        <v>11072</v>
      </c>
      <c r="P16" s="6" t="n">
        <v>10438</v>
      </c>
      <c r="Q16" s="6" t="n">
        <v>9586</v>
      </c>
      <c r="R16" s="6" t="n">
        <v>10010</v>
      </c>
      <c r="S16" s="6" t="n">
        <v>10389</v>
      </c>
    </row>
    <row r="17" customFormat="false" ht="15" hidden="false" customHeight="false" outlineLevel="0" collapsed="false">
      <c r="A17" s="5" t="s">
        <v>33</v>
      </c>
      <c r="B17" s="6" t="n">
        <v>15940</v>
      </c>
      <c r="C17" s="6" t="n">
        <v>15309</v>
      </c>
      <c r="D17" s="6" t="n">
        <v>16077</v>
      </c>
      <c r="E17" s="6" t="n">
        <v>16439</v>
      </c>
      <c r="F17" s="6" t="n">
        <v>16340</v>
      </c>
      <c r="G17" s="6" t="n">
        <v>14866</v>
      </c>
      <c r="H17" s="6" t="n">
        <v>14340</v>
      </c>
      <c r="I17" s="6" t="n">
        <v>14289</v>
      </c>
      <c r="J17" s="6" t="n">
        <v>12913</v>
      </c>
      <c r="K17" s="6" t="n">
        <v>11492</v>
      </c>
      <c r="L17" s="6" t="n">
        <v>10240</v>
      </c>
      <c r="M17" s="6" t="n">
        <v>9078</v>
      </c>
      <c r="N17" s="6" t="n">
        <v>8318</v>
      </c>
      <c r="O17" s="6" t="n">
        <v>7559</v>
      </c>
      <c r="P17" s="6" t="n">
        <v>7191</v>
      </c>
      <c r="Q17" s="6" t="n">
        <v>6692</v>
      </c>
      <c r="R17" s="6" t="n">
        <v>6897</v>
      </c>
      <c r="S17" s="6" t="n">
        <v>7150</v>
      </c>
    </row>
    <row r="18" customFormat="false" ht="15" hidden="false" customHeight="false" outlineLevel="0" collapsed="false">
      <c r="A18" s="5" t="s">
        <v>34</v>
      </c>
      <c r="B18" s="6" t="n">
        <v>16649</v>
      </c>
      <c r="C18" s="6" t="n">
        <v>16075</v>
      </c>
      <c r="D18" s="6" t="n">
        <v>16709</v>
      </c>
      <c r="E18" s="6" t="n">
        <v>16775</v>
      </c>
      <c r="F18" s="6" t="n">
        <v>17189</v>
      </c>
      <c r="G18" s="6" t="n">
        <v>15736</v>
      </c>
      <c r="H18" s="6" t="n">
        <v>14919</v>
      </c>
      <c r="I18" s="6" t="n">
        <v>15314</v>
      </c>
      <c r="J18" s="6" t="n">
        <v>14167</v>
      </c>
      <c r="K18" s="6" t="n">
        <v>12532</v>
      </c>
      <c r="L18" s="6" t="n">
        <v>11412</v>
      </c>
      <c r="M18" s="6" t="n">
        <v>11053</v>
      </c>
      <c r="N18" s="6" t="n">
        <v>9859</v>
      </c>
      <c r="O18" s="6" t="n">
        <v>8567</v>
      </c>
      <c r="P18" s="6" t="n">
        <v>8027</v>
      </c>
      <c r="Q18" s="6" t="n">
        <v>7933</v>
      </c>
      <c r="R18" s="6" t="n">
        <v>8322</v>
      </c>
      <c r="S18" s="6" t="n">
        <v>8790</v>
      </c>
    </row>
    <row r="19" customFormat="false" ht="15" hidden="false" customHeight="false" outlineLevel="0" collapsed="false">
      <c r="A19" s="5" t="s">
        <v>35</v>
      </c>
      <c r="B19" s="6" t="n">
        <v>23777</v>
      </c>
      <c r="C19" s="6" t="n">
        <v>22477</v>
      </c>
      <c r="D19" s="6" t="n">
        <v>23367</v>
      </c>
      <c r="E19" s="6" t="n">
        <v>24179</v>
      </c>
      <c r="F19" s="6" t="n">
        <v>24743</v>
      </c>
      <c r="G19" s="6" t="n">
        <v>22711</v>
      </c>
      <c r="H19" s="6" t="n">
        <v>22208</v>
      </c>
      <c r="I19" s="6" t="n">
        <v>22645</v>
      </c>
      <c r="J19" s="6" t="n">
        <v>20829</v>
      </c>
      <c r="K19" s="6" t="n">
        <v>18211</v>
      </c>
      <c r="L19" s="6" t="n">
        <v>16441</v>
      </c>
      <c r="M19" s="6" t="n">
        <v>14790</v>
      </c>
      <c r="N19" s="6" t="n">
        <v>13045</v>
      </c>
      <c r="O19" s="6" t="n">
        <v>12158</v>
      </c>
      <c r="P19" s="6" t="n">
        <v>11528</v>
      </c>
      <c r="Q19" s="6" t="n">
        <v>10470</v>
      </c>
      <c r="R19" s="6" t="n">
        <v>10467</v>
      </c>
      <c r="S19" s="6" t="n">
        <v>10570</v>
      </c>
    </row>
    <row r="20" customFormat="false" ht="15" hidden="false" customHeight="false" outlineLevel="0" collapsed="false">
      <c r="A20" s="5" t="s">
        <v>36</v>
      </c>
      <c r="B20" s="6" t="n">
        <v>31717</v>
      </c>
      <c r="C20" s="6" t="n">
        <v>30586</v>
      </c>
      <c r="D20" s="6" t="n">
        <v>32221</v>
      </c>
      <c r="E20" s="6" t="n">
        <v>32788</v>
      </c>
      <c r="F20" s="6" t="n">
        <v>33422</v>
      </c>
      <c r="G20" s="6" t="n">
        <v>30028</v>
      </c>
      <c r="H20" s="6" t="n">
        <v>30020</v>
      </c>
      <c r="I20" s="6" t="n">
        <v>29755</v>
      </c>
      <c r="J20" s="6" t="n">
        <v>27448</v>
      </c>
      <c r="K20" s="6" t="n">
        <v>24138</v>
      </c>
      <c r="L20" s="6" t="n">
        <v>21645</v>
      </c>
      <c r="M20" s="6" t="n">
        <v>19570</v>
      </c>
      <c r="N20" s="6" t="n">
        <v>17053</v>
      </c>
      <c r="O20" s="6" t="n">
        <v>15629</v>
      </c>
      <c r="P20" s="6" t="n">
        <v>14265</v>
      </c>
      <c r="Q20" s="6" t="n">
        <v>13244</v>
      </c>
      <c r="R20" s="6" t="n">
        <v>13250</v>
      </c>
      <c r="S20" s="6" t="n">
        <v>13911</v>
      </c>
    </row>
    <row r="21" customFormat="false" ht="15" hidden="false" customHeight="false" outlineLevel="0" collapsed="false">
      <c r="A21" s="5" t="s">
        <v>37</v>
      </c>
      <c r="B21" s="6" t="n">
        <v>5714</v>
      </c>
      <c r="C21" s="6" t="n">
        <v>5468</v>
      </c>
      <c r="D21" s="6" t="n">
        <v>5701</v>
      </c>
      <c r="E21" s="6" t="n">
        <v>5702</v>
      </c>
      <c r="F21" s="6" t="n">
        <v>6022</v>
      </c>
      <c r="G21" s="6" t="n">
        <v>5434</v>
      </c>
      <c r="H21" s="6" t="n">
        <v>5556</v>
      </c>
      <c r="I21" s="6" t="n">
        <v>5678</v>
      </c>
      <c r="J21" s="6" t="n">
        <v>5533</v>
      </c>
      <c r="K21" s="6" t="n">
        <v>5071</v>
      </c>
      <c r="L21" s="6" t="n">
        <v>4861</v>
      </c>
      <c r="M21" s="6" t="n">
        <v>4545</v>
      </c>
      <c r="N21" s="6" t="n">
        <v>4014</v>
      </c>
      <c r="O21" s="6" t="n">
        <v>3797</v>
      </c>
      <c r="P21" s="6" t="n">
        <v>3639</v>
      </c>
      <c r="Q21" s="6" t="n">
        <v>3279</v>
      </c>
      <c r="R21" s="6" t="n">
        <v>3192</v>
      </c>
      <c r="S21" s="6" t="n">
        <v>3281</v>
      </c>
    </row>
    <row r="22" customFormat="false" ht="15" hidden="false" customHeight="false" outlineLevel="0" collapsed="false">
      <c r="A22" s="8" t="s">
        <v>38</v>
      </c>
      <c r="B22" s="9" t="n">
        <f aca="false">SUM(B5:B21)</f>
        <v>470390</v>
      </c>
      <c r="C22" s="9" t="n">
        <f aca="false">SUM(C5:C21)</f>
        <v>448013</v>
      </c>
      <c r="D22" s="9" t="n">
        <f aca="false">SUM(D5:D21)</f>
        <v>470515</v>
      </c>
      <c r="E22" s="9" t="n">
        <f aca="false">SUM(E5:E21)</f>
        <v>477863</v>
      </c>
      <c r="F22" s="9" t="n">
        <f aca="false">SUM(F5:F21)</f>
        <v>488666</v>
      </c>
      <c r="G22" s="9" t="n">
        <f aca="false">SUM(G5:G21)</f>
        <v>445962</v>
      </c>
      <c r="H22" s="9" t="n">
        <f aca="false">SUM(H5:H21)</f>
        <v>439198</v>
      </c>
      <c r="I22" s="9" t="n">
        <f aca="false">SUM(I5:I21)</f>
        <v>444098</v>
      </c>
      <c r="J22" s="9" t="n">
        <f aca="false">SUM(J5:J21)</f>
        <v>411859</v>
      </c>
      <c r="K22" s="9" t="n">
        <f aca="false">SUM(K5:K21)</f>
        <v>362867</v>
      </c>
      <c r="L22" s="9" t="n">
        <f aca="false">SUM(L5:L21)</f>
        <v>334115</v>
      </c>
      <c r="M22" s="9" t="n">
        <f aca="false">SUM(M5:M21)</f>
        <v>308697</v>
      </c>
      <c r="N22" s="9" t="n">
        <f aca="false">SUM(N5:N21)</f>
        <v>275815</v>
      </c>
      <c r="O22" s="9" t="n">
        <f aca="false">SUM(O5:O21)</f>
        <v>263127</v>
      </c>
      <c r="P22" s="9" t="n">
        <f aca="false">SUM(P5:P21)</f>
        <v>254628</v>
      </c>
      <c r="Q22" s="9" t="n">
        <f aca="false">SUM(Q5:Q21)</f>
        <v>235039</v>
      </c>
      <c r="R22" s="9" t="n">
        <f aca="false">SUM(R5:R21)</f>
        <v>242334</v>
      </c>
      <c r="S22" s="9" t="n">
        <f aca="false">SUM(S5:S21)</f>
        <v>258242</v>
      </c>
    </row>
    <row r="23" customFormat="false" ht="15" hidden="false" customHeight="false" outlineLevel="0" collapsed="false">
      <c r="A23" s="10" t="s">
        <v>44</v>
      </c>
    </row>
    <row r="24" customFormat="false" ht="15" hidden="false" customHeight="false" outlineLevel="0" collapsed="false">
      <c r="A24" s="5" t="s">
        <v>52</v>
      </c>
      <c r="B24" s="6" t="n">
        <v>470390</v>
      </c>
      <c r="C24" s="6" t="n">
        <v>448013</v>
      </c>
      <c r="D24" s="6" t="n">
        <v>470515</v>
      </c>
      <c r="E24" s="6" t="n">
        <v>477863</v>
      </c>
      <c r="F24" s="6" t="n">
        <v>488666</v>
      </c>
      <c r="G24" s="6" t="n">
        <v>445962</v>
      </c>
      <c r="H24" s="6" t="n">
        <v>439198</v>
      </c>
      <c r="I24" s="6" t="n">
        <v>444098</v>
      </c>
      <c r="J24" s="6" t="n">
        <v>411859</v>
      </c>
      <c r="K24" s="6" t="n">
        <v>362867</v>
      </c>
      <c r="L24" s="6" t="n">
        <v>334115</v>
      </c>
      <c r="M24" s="6" t="n">
        <v>308697</v>
      </c>
      <c r="N24" s="6" t="n">
        <v>275815</v>
      </c>
      <c r="O24" s="6" t="n">
        <v>263127</v>
      </c>
      <c r="P24" s="6" t="n">
        <v>254628</v>
      </c>
      <c r="Q24" s="6" t="n">
        <v>235039</v>
      </c>
      <c r="R24" s="6" t="n">
        <v>242334</v>
      </c>
      <c r="S24" s="6" t="n">
        <v>258242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9" min="2" style="0" width="11"/>
  </cols>
  <sheetData>
    <row r="1" customFormat="false" ht="19.4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2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  <c r="I4" s="4" t="s">
        <v>62</v>
      </c>
      <c r="J4" s="4" t="s">
        <v>63</v>
      </c>
      <c r="K4" s="4" t="s">
        <v>64</v>
      </c>
      <c r="L4" s="4" t="s">
        <v>65</v>
      </c>
      <c r="M4" s="4" t="s">
        <v>66</v>
      </c>
      <c r="N4" s="4" t="s">
        <v>67</v>
      </c>
      <c r="O4" s="4" t="s">
        <v>68</v>
      </c>
      <c r="P4" s="4" t="s">
        <v>69</v>
      </c>
      <c r="Q4" s="4" t="s">
        <v>70</v>
      </c>
      <c r="R4" s="4" t="s">
        <v>71</v>
      </c>
      <c r="S4" s="4" t="s">
        <v>72</v>
      </c>
    </row>
    <row r="5" customFormat="false" ht="15" hidden="false" customHeight="false" outlineLevel="0" collapsed="false">
      <c r="A5" s="5" t="s">
        <v>21</v>
      </c>
      <c r="B5" s="6" t="n">
        <v>521</v>
      </c>
      <c r="C5" s="6" t="n">
        <v>524</v>
      </c>
      <c r="D5" s="6" t="n">
        <v>522</v>
      </c>
      <c r="E5" s="6" t="n">
        <v>514</v>
      </c>
      <c r="F5" s="6" t="n">
        <v>523</v>
      </c>
      <c r="G5" s="6" t="n">
        <v>521</v>
      </c>
      <c r="H5" s="6" t="n">
        <v>519</v>
      </c>
      <c r="I5" s="6" t="n">
        <v>520</v>
      </c>
      <c r="J5" s="6" t="n">
        <v>521</v>
      </c>
      <c r="K5" s="6" t="n">
        <v>509</v>
      </c>
      <c r="L5" s="6" t="n">
        <v>501</v>
      </c>
      <c r="M5" s="6" t="n">
        <v>475</v>
      </c>
      <c r="N5" s="6" t="n">
        <v>455</v>
      </c>
      <c r="O5" s="6" t="n">
        <v>456</v>
      </c>
      <c r="P5" s="6" t="n">
        <v>451</v>
      </c>
      <c r="Q5" s="6" t="n">
        <v>456</v>
      </c>
      <c r="R5" s="6" t="n">
        <v>448</v>
      </c>
      <c r="S5" s="7" t="n">
        <v>447</v>
      </c>
    </row>
    <row r="6" customFormat="false" ht="15" hidden="false" customHeight="false" outlineLevel="0" collapsed="false">
      <c r="A6" s="5" t="s">
        <v>22</v>
      </c>
      <c r="B6" s="6" t="n">
        <v>167</v>
      </c>
      <c r="C6" s="6" t="n">
        <v>165</v>
      </c>
      <c r="D6" s="6" t="n">
        <v>160</v>
      </c>
      <c r="E6" s="6" t="n">
        <v>160</v>
      </c>
      <c r="F6" s="6" t="n">
        <v>157</v>
      </c>
      <c r="G6" s="6" t="n">
        <v>156</v>
      </c>
      <c r="H6" s="6" t="n">
        <v>154</v>
      </c>
      <c r="I6" s="6" t="n">
        <v>148</v>
      </c>
      <c r="J6" s="6" t="n">
        <v>143</v>
      </c>
      <c r="K6" s="6" t="n">
        <v>137</v>
      </c>
      <c r="L6" s="6" t="n">
        <v>134</v>
      </c>
      <c r="M6" s="6" t="n">
        <v>128</v>
      </c>
      <c r="N6" s="6" t="n">
        <v>132</v>
      </c>
      <c r="O6" s="6" t="n">
        <v>135</v>
      </c>
      <c r="P6" s="6" t="n">
        <v>137</v>
      </c>
      <c r="Q6" s="6" t="n">
        <v>141</v>
      </c>
      <c r="R6" s="6" t="n">
        <v>139</v>
      </c>
      <c r="S6" s="7" t="n">
        <v>137</v>
      </c>
    </row>
    <row r="7" customFormat="false" ht="15" hidden="false" customHeight="false" outlineLevel="0" collapsed="false">
      <c r="A7" s="5" t="s">
        <v>23</v>
      </c>
      <c r="B7" s="6" t="n">
        <v>112</v>
      </c>
      <c r="C7" s="6" t="n">
        <v>115</v>
      </c>
      <c r="D7" s="6" t="n">
        <v>119</v>
      </c>
      <c r="E7" s="6" t="n">
        <v>116</v>
      </c>
      <c r="F7" s="6" t="n">
        <v>114</v>
      </c>
      <c r="G7" s="6" t="n">
        <v>112</v>
      </c>
      <c r="H7" s="6" t="n">
        <v>109</v>
      </c>
      <c r="I7" s="6" t="n">
        <v>115</v>
      </c>
      <c r="J7" s="6" t="n">
        <v>114</v>
      </c>
      <c r="K7" s="6" t="n">
        <v>112</v>
      </c>
      <c r="L7" s="6" t="n">
        <v>115</v>
      </c>
      <c r="M7" s="6" t="n">
        <v>112</v>
      </c>
      <c r="N7" s="6" t="n">
        <v>114</v>
      </c>
      <c r="O7" s="6" t="n">
        <v>115</v>
      </c>
      <c r="P7" s="6" t="n">
        <v>116</v>
      </c>
      <c r="Q7" s="6" t="n">
        <v>118</v>
      </c>
      <c r="R7" s="6" t="n">
        <v>120</v>
      </c>
      <c r="S7" s="7" t="n">
        <v>120</v>
      </c>
    </row>
    <row r="8" customFormat="false" ht="15" hidden="false" customHeight="false" outlineLevel="0" collapsed="false">
      <c r="A8" s="5" t="s">
        <v>24</v>
      </c>
      <c r="B8" s="6" t="n">
        <v>119</v>
      </c>
      <c r="C8" s="6" t="n">
        <v>119</v>
      </c>
      <c r="D8" s="6" t="n">
        <v>129</v>
      </c>
      <c r="E8" s="6" t="n">
        <v>132</v>
      </c>
      <c r="F8" s="6" t="n">
        <v>137</v>
      </c>
      <c r="G8" s="6" t="n">
        <v>137</v>
      </c>
      <c r="H8" s="6" t="n">
        <v>147</v>
      </c>
      <c r="I8" s="6" t="n">
        <v>148</v>
      </c>
      <c r="J8" s="6" t="n">
        <v>149</v>
      </c>
      <c r="K8" s="6" t="n">
        <v>148</v>
      </c>
      <c r="L8" s="6" t="n">
        <v>149</v>
      </c>
      <c r="M8" s="6" t="n">
        <v>140</v>
      </c>
      <c r="N8" s="6" t="n">
        <v>137</v>
      </c>
      <c r="O8" s="6" t="n">
        <v>141</v>
      </c>
      <c r="P8" s="6" t="n">
        <v>143</v>
      </c>
      <c r="Q8" s="6" t="n">
        <v>144</v>
      </c>
      <c r="R8" s="6" t="n">
        <v>142</v>
      </c>
      <c r="S8" s="7" t="n">
        <v>138</v>
      </c>
    </row>
    <row r="9" customFormat="false" ht="15" hidden="false" customHeight="false" outlineLevel="0" collapsed="false">
      <c r="A9" s="5" t="s">
        <v>25</v>
      </c>
      <c r="B9" s="6" t="n">
        <v>66</v>
      </c>
      <c r="C9" s="6" t="n">
        <v>63</v>
      </c>
      <c r="D9" s="6" t="n">
        <v>61</v>
      </c>
      <c r="E9" s="6" t="n">
        <v>57</v>
      </c>
      <c r="F9" s="6" t="n">
        <v>58</v>
      </c>
      <c r="G9" s="6" t="n">
        <v>57</v>
      </c>
      <c r="H9" s="6" t="n">
        <v>51</v>
      </c>
      <c r="I9" s="6" t="n">
        <v>46</v>
      </c>
      <c r="J9" s="6" t="n">
        <v>44</v>
      </c>
      <c r="K9" s="6" t="n">
        <v>43</v>
      </c>
      <c r="L9" s="6" t="n">
        <v>47</v>
      </c>
      <c r="M9" s="6" t="n">
        <v>43</v>
      </c>
      <c r="N9" s="6" t="n">
        <v>42</v>
      </c>
      <c r="O9" s="6" t="n">
        <v>41</v>
      </c>
      <c r="P9" s="6" t="n">
        <v>42</v>
      </c>
      <c r="Q9" s="6" t="n">
        <v>41</v>
      </c>
      <c r="R9" s="6" t="n">
        <v>40</v>
      </c>
      <c r="S9" s="7" t="n">
        <v>39</v>
      </c>
    </row>
    <row r="10" customFormat="false" ht="15" hidden="false" customHeight="false" outlineLevel="0" collapsed="false">
      <c r="A10" s="5" t="s">
        <v>26</v>
      </c>
      <c r="B10" s="6" t="n">
        <v>69</v>
      </c>
      <c r="C10" s="6" t="n">
        <v>72</v>
      </c>
      <c r="D10" s="6" t="n">
        <v>71</v>
      </c>
      <c r="E10" s="6" t="n">
        <v>68</v>
      </c>
      <c r="F10" s="6" t="n">
        <v>67</v>
      </c>
      <c r="G10" s="6" t="n">
        <v>67</v>
      </c>
      <c r="H10" s="6" t="n">
        <v>67</v>
      </c>
      <c r="I10" s="6" t="n">
        <v>64</v>
      </c>
      <c r="J10" s="6" t="n">
        <v>65</v>
      </c>
      <c r="K10" s="6" t="n">
        <v>64</v>
      </c>
      <c r="L10" s="6" t="n">
        <v>62</v>
      </c>
      <c r="M10" s="6" t="n">
        <v>59</v>
      </c>
      <c r="N10" s="6" t="n">
        <v>59</v>
      </c>
      <c r="O10" s="6" t="n">
        <v>58</v>
      </c>
      <c r="P10" s="6" t="n">
        <v>56</v>
      </c>
      <c r="Q10" s="6" t="n">
        <v>56</v>
      </c>
      <c r="R10" s="6" t="n">
        <v>56</v>
      </c>
      <c r="S10" s="7" t="n">
        <v>54</v>
      </c>
    </row>
    <row r="11" customFormat="false" ht="15" hidden="false" customHeight="false" outlineLevel="0" collapsed="false">
      <c r="A11" s="5" t="s">
        <v>27</v>
      </c>
      <c r="B11" s="6" t="n">
        <v>46</v>
      </c>
      <c r="C11" s="6" t="n">
        <v>47</v>
      </c>
      <c r="D11" s="6" t="n">
        <v>49</v>
      </c>
      <c r="E11" s="6" t="n">
        <v>44</v>
      </c>
      <c r="F11" s="6" t="n">
        <v>40</v>
      </c>
      <c r="G11" s="6" t="n">
        <v>40</v>
      </c>
      <c r="H11" s="6" t="n">
        <v>40</v>
      </c>
      <c r="I11" s="6" t="n">
        <v>38</v>
      </c>
      <c r="J11" s="6" t="n">
        <v>36</v>
      </c>
      <c r="K11" s="6" t="n">
        <v>36</v>
      </c>
      <c r="L11" s="6" t="n">
        <v>36</v>
      </c>
      <c r="M11" s="6" t="n">
        <v>35</v>
      </c>
      <c r="N11" s="6" t="n">
        <v>32</v>
      </c>
      <c r="O11" s="6" t="n">
        <v>32</v>
      </c>
      <c r="P11" s="6" t="n">
        <v>34</v>
      </c>
      <c r="Q11" s="6" t="n">
        <v>33</v>
      </c>
      <c r="R11" s="6" t="n">
        <v>32</v>
      </c>
      <c r="S11" s="7" t="n">
        <v>32</v>
      </c>
    </row>
    <row r="12" customFormat="false" ht="15" hidden="false" customHeight="false" outlineLevel="0" collapsed="false">
      <c r="A12" s="5" t="s">
        <v>28</v>
      </c>
      <c r="B12" s="6"/>
      <c r="C12" s="6"/>
      <c r="D12" s="6"/>
      <c r="E12" s="6" t="n">
        <v>4</v>
      </c>
      <c r="F12" s="6" t="n">
        <v>4</v>
      </c>
      <c r="G12" s="6" t="n">
        <v>8</v>
      </c>
      <c r="H12" s="6" t="n">
        <v>11</v>
      </c>
      <c r="I12" s="6" t="n">
        <v>13</v>
      </c>
      <c r="J12" s="6" t="n">
        <v>17</v>
      </c>
      <c r="K12" s="6" t="n">
        <v>22</v>
      </c>
      <c r="L12" s="6" t="n">
        <v>21</v>
      </c>
      <c r="M12" s="6" t="n">
        <v>22</v>
      </c>
      <c r="N12" s="6" t="n">
        <v>22</v>
      </c>
      <c r="O12" s="6" t="n">
        <v>22</v>
      </c>
      <c r="P12" s="6" t="n">
        <v>26</v>
      </c>
      <c r="Q12" s="6" t="n">
        <v>27</v>
      </c>
      <c r="R12" s="6" t="n">
        <v>26</v>
      </c>
      <c r="S12" s="7" t="n">
        <v>26</v>
      </c>
    </row>
    <row r="13" customFormat="false" ht="15" hidden="false" customHeight="false" outlineLevel="0" collapsed="false">
      <c r="A13" s="5" t="s">
        <v>29</v>
      </c>
      <c r="B13" s="6" t="n">
        <v>552</v>
      </c>
      <c r="C13" s="6" t="n">
        <v>582</v>
      </c>
      <c r="D13" s="6" t="n">
        <v>607</v>
      </c>
      <c r="E13" s="6" t="n">
        <v>615</v>
      </c>
      <c r="F13" s="6" t="n">
        <v>632</v>
      </c>
      <c r="G13" s="6" t="n">
        <v>646</v>
      </c>
      <c r="H13" s="6" t="n">
        <v>639</v>
      </c>
      <c r="I13" s="6" t="n">
        <v>669</v>
      </c>
      <c r="J13" s="6" t="n">
        <v>668</v>
      </c>
      <c r="K13" s="6" t="n">
        <v>675</v>
      </c>
      <c r="L13" s="6" t="n">
        <v>687</v>
      </c>
      <c r="M13" s="6" t="n">
        <v>672</v>
      </c>
      <c r="N13" s="6" t="n">
        <v>657</v>
      </c>
      <c r="O13" s="6" t="n">
        <v>668</v>
      </c>
      <c r="P13" s="6" t="n">
        <v>680</v>
      </c>
      <c r="Q13" s="6" t="n">
        <v>702</v>
      </c>
      <c r="R13" s="6" t="n">
        <v>687</v>
      </c>
      <c r="S13" s="7" t="n">
        <v>671</v>
      </c>
    </row>
    <row r="14" customFormat="false" ht="15" hidden="false" customHeight="false" outlineLevel="0" collapsed="false">
      <c r="A14" s="5" t="s">
        <v>30</v>
      </c>
      <c r="B14" s="6" t="n">
        <v>47</v>
      </c>
      <c r="C14" s="6" t="n">
        <v>45</v>
      </c>
      <c r="D14" s="6" t="n">
        <v>47</v>
      </c>
      <c r="E14" s="6" t="n">
        <v>46</v>
      </c>
      <c r="F14" s="6" t="n">
        <v>48</v>
      </c>
      <c r="G14" s="6" t="n">
        <v>48</v>
      </c>
      <c r="H14" s="6" t="n">
        <v>47</v>
      </c>
      <c r="I14" s="6" t="n">
        <v>49</v>
      </c>
      <c r="J14" s="6" t="n">
        <v>49</v>
      </c>
      <c r="K14" s="6" t="n">
        <v>53</v>
      </c>
      <c r="L14" s="6" t="n">
        <v>54</v>
      </c>
      <c r="M14" s="6" t="n">
        <v>56</v>
      </c>
      <c r="N14" s="6" t="n">
        <v>56</v>
      </c>
      <c r="O14" s="6" t="n">
        <v>57</v>
      </c>
      <c r="P14" s="6" t="n">
        <v>57</v>
      </c>
      <c r="Q14" s="6" t="n">
        <v>56</v>
      </c>
      <c r="R14" s="6" t="n">
        <v>56</v>
      </c>
      <c r="S14" s="7" t="n">
        <v>55</v>
      </c>
    </row>
    <row r="15" customFormat="false" ht="15" hidden="false" customHeight="false" outlineLevel="0" collapsed="false">
      <c r="A15" s="5" t="s">
        <v>31</v>
      </c>
      <c r="B15" s="6" t="n">
        <v>50</v>
      </c>
      <c r="C15" s="6" t="n">
        <v>50</v>
      </c>
      <c r="D15" s="6" t="n">
        <v>51</v>
      </c>
      <c r="E15" s="6" t="n">
        <v>51</v>
      </c>
      <c r="F15" s="6" t="n">
        <v>52</v>
      </c>
      <c r="G15" s="6" t="n">
        <v>51</v>
      </c>
      <c r="H15" s="6" t="n">
        <v>55</v>
      </c>
      <c r="I15" s="6" t="n">
        <v>54</v>
      </c>
      <c r="J15" s="6" t="n">
        <v>53</v>
      </c>
      <c r="K15" s="6" t="n">
        <v>50</v>
      </c>
      <c r="L15" s="6" t="n">
        <v>51</v>
      </c>
      <c r="M15" s="6" t="n">
        <v>51</v>
      </c>
      <c r="N15" s="6" t="n">
        <v>54</v>
      </c>
      <c r="O15" s="6" t="n">
        <v>54</v>
      </c>
      <c r="P15" s="6" t="n">
        <v>56</v>
      </c>
      <c r="Q15" s="6" t="n">
        <v>56</v>
      </c>
      <c r="R15" s="6" t="n">
        <v>56</v>
      </c>
      <c r="S15" s="7" t="n">
        <v>54</v>
      </c>
    </row>
    <row r="16" customFormat="false" ht="15" hidden="false" customHeight="false" outlineLevel="0" collapsed="false">
      <c r="A16" s="5" t="s">
        <v>32</v>
      </c>
      <c r="B16" s="6" t="n">
        <v>62</v>
      </c>
      <c r="C16" s="6" t="n">
        <v>65</v>
      </c>
      <c r="D16" s="6" t="n">
        <v>63</v>
      </c>
      <c r="E16" s="6" t="n">
        <v>61</v>
      </c>
      <c r="F16" s="6" t="n">
        <v>63</v>
      </c>
      <c r="G16" s="6" t="n">
        <v>62</v>
      </c>
      <c r="H16" s="6" t="n">
        <v>59</v>
      </c>
      <c r="I16" s="6" t="n">
        <v>58</v>
      </c>
      <c r="J16" s="6" t="n">
        <v>63</v>
      </c>
      <c r="K16" s="6" t="n">
        <v>62</v>
      </c>
      <c r="L16" s="6" t="n">
        <v>62</v>
      </c>
      <c r="M16" s="6" t="n">
        <v>67</v>
      </c>
      <c r="N16" s="6" t="n">
        <v>64</v>
      </c>
      <c r="O16" s="6" t="n">
        <v>66</v>
      </c>
      <c r="P16" s="6" t="n">
        <v>65</v>
      </c>
      <c r="Q16" s="6" t="n">
        <v>64</v>
      </c>
      <c r="R16" s="6" t="n">
        <v>63</v>
      </c>
      <c r="S16" s="7" t="n">
        <v>63</v>
      </c>
    </row>
    <row r="17" customFormat="false" ht="15" hidden="false" customHeight="false" outlineLevel="0" collapsed="false">
      <c r="A17" s="5" t="s">
        <v>33</v>
      </c>
      <c r="B17" s="6" t="n">
        <v>71</v>
      </c>
      <c r="C17" s="6" t="n">
        <v>70</v>
      </c>
      <c r="D17" s="6" t="n">
        <v>73</v>
      </c>
      <c r="E17" s="6" t="n">
        <v>75</v>
      </c>
      <c r="F17" s="6" t="n">
        <v>74</v>
      </c>
      <c r="G17" s="6" t="n">
        <v>73</v>
      </c>
      <c r="H17" s="6" t="n">
        <v>72</v>
      </c>
      <c r="I17" s="6" t="n">
        <v>72</v>
      </c>
      <c r="J17" s="6" t="n">
        <v>74</v>
      </c>
      <c r="K17" s="6" t="n">
        <v>76</v>
      </c>
      <c r="L17" s="6" t="n">
        <v>76</v>
      </c>
      <c r="M17" s="6" t="n">
        <v>68</v>
      </c>
      <c r="N17" s="6" t="n">
        <v>65</v>
      </c>
      <c r="O17" s="6" t="n">
        <v>66</v>
      </c>
      <c r="P17" s="6" t="n">
        <v>65</v>
      </c>
      <c r="Q17" s="6" t="n">
        <v>66</v>
      </c>
      <c r="R17" s="6" t="n">
        <v>64</v>
      </c>
      <c r="S17" s="7" t="n">
        <v>65</v>
      </c>
    </row>
    <row r="18" customFormat="false" ht="15" hidden="false" customHeight="false" outlineLevel="0" collapsed="false">
      <c r="A18" s="5" t="s">
        <v>34</v>
      </c>
      <c r="B18" s="6" t="n">
        <v>34</v>
      </c>
      <c r="C18" s="6" t="n">
        <v>32</v>
      </c>
      <c r="D18" s="6" t="n">
        <v>31</v>
      </c>
      <c r="E18" s="6" t="n">
        <v>30</v>
      </c>
      <c r="F18" s="6" t="n">
        <v>31</v>
      </c>
      <c r="G18" s="6" t="n">
        <v>30</v>
      </c>
      <c r="H18" s="6" t="n">
        <v>28</v>
      </c>
      <c r="I18" s="6" t="n">
        <v>27</v>
      </c>
      <c r="J18" s="6" t="n">
        <v>28</v>
      </c>
      <c r="K18" s="6" t="n">
        <v>27</v>
      </c>
      <c r="L18" s="6" t="n">
        <v>27</v>
      </c>
      <c r="M18" s="6" t="n">
        <v>25</v>
      </c>
      <c r="N18" s="6" t="n">
        <v>26</v>
      </c>
      <c r="O18" s="6" t="n">
        <v>26</v>
      </c>
      <c r="P18" s="6" t="n">
        <v>25</v>
      </c>
      <c r="Q18" s="6" t="n">
        <v>25</v>
      </c>
      <c r="R18" s="6" t="n">
        <v>24</v>
      </c>
      <c r="S18" s="7" t="n">
        <v>23</v>
      </c>
    </row>
    <row r="19" customFormat="false" ht="15" hidden="false" customHeight="false" outlineLevel="0" collapsed="false">
      <c r="A19" s="5" t="s">
        <v>35</v>
      </c>
      <c r="B19" s="6" t="n">
        <v>73</v>
      </c>
      <c r="C19" s="6" t="n">
        <v>74</v>
      </c>
      <c r="D19" s="6" t="n">
        <v>73</v>
      </c>
      <c r="E19" s="6" t="n">
        <v>74</v>
      </c>
      <c r="F19" s="6" t="n">
        <v>72</v>
      </c>
      <c r="G19" s="6" t="n">
        <v>74</v>
      </c>
      <c r="H19" s="6" t="n">
        <v>70</v>
      </c>
      <c r="I19" s="6" t="n">
        <v>74</v>
      </c>
      <c r="J19" s="6" t="n">
        <v>72</v>
      </c>
      <c r="K19" s="6" t="n">
        <v>74</v>
      </c>
      <c r="L19" s="6" t="n">
        <v>73</v>
      </c>
      <c r="M19" s="6" t="n">
        <v>73</v>
      </c>
      <c r="N19" s="6" t="n">
        <v>71</v>
      </c>
      <c r="O19" s="6" t="n">
        <v>70</v>
      </c>
      <c r="P19" s="6" t="n">
        <v>68</v>
      </c>
      <c r="Q19" s="6" t="n">
        <v>72</v>
      </c>
      <c r="R19" s="6" t="n">
        <v>72</v>
      </c>
      <c r="S19" s="7" t="n">
        <v>72</v>
      </c>
    </row>
    <row r="20" customFormat="false" ht="15" hidden="false" customHeight="false" outlineLevel="0" collapsed="false">
      <c r="A20" s="5" t="s">
        <v>36</v>
      </c>
      <c r="B20" s="6" t="n">
        <v>110</v>
      </c>
      <c r="C20" s="6" t="n">
        <v>109</v>
      </c>
      <c r="D20" s="6" t="n">
        <v>109</v>
      </c>
      <c r="E20" s="6" t="n">
        <v>107</v>
      </c>
      <c r="F20" s="6" t="n">
        <v>102</v>
      </c>
      <c r="G20" s="6" t="n">
        <v>104</v>
      </c>
      <c r="H20" s="6" t="n">
        <v>108</v>
      </c>
      <c r="I20" s="6" t="n">
        <v>105</v>
      </c>
      <c r="J20" s="6" t="n">
        <v>106</v>
      </c>
      <c r="K20" s="6" t="n">
        <v>105</v>
      </c>
      <c r="L20" s="6" t="n">
        <v>100</v>
      </c>
      <c r="M20" s="6" t="n">
        <v>98</v>
      </c>
      <c r="N20" s="6" t="n">
        <v>91</v>
      </c>
      <c r="O20" s="6" t="n">
        <v>92</v>
      </c>
      <c r="P20" s="6" t="n">
        <v>95</v>
      </c>
      <c r="Q20" s="6" t="n">
        <v>95</v>
      </c>
      <c r="R20" s="6" t="n">
        <v>97</v>
      </c>
      <c r="S20" s="7" t="n">
        <v>94</v>
      </c>
    </row>
    <row r="21" customFormat="false" ht="15" hidden="false" customHeight="false" outlineLevel="0" collapsed="false">
      <c r="A21" s="5" t="s">
        <v>37</v>
      </c>
      <c r="B21" s="6" t="n">
        <v>23</v>
      </c>
      <c r="C21" s="6" t="n">
        <v>25</v>
      </c>
      <c r="D21" s="6" t="n">
        <v>24</v>
      </c>
      <c r="E21" s="6" t="n">
        <v>26</v>
      </c>
      <c r="F21" s="6" t="n">
        <v>26</v>
      </c>
      <c r="G21" s="6" t="n">
        <v>28</v>
      </c>
      <c r="H21" s="6" t="n">
        <v>26</v>
      </c>
      <c r="I21" s="6" t="n">
        <v>26</v>
      </c>
      <c r="J21" s="6" t="n">
        <v>27</v>
      </c>
      <c r="K21" s="6" t="n">
        <v>28</v>
      </c>
      <c r="L21" s="6" t="n">
        <v>32</v>
      </c>
      <c r="M21" s="6" t="n">
        <v>34</v>
      </c>
      <c r="N21" s="6" t="n">
        <v>34</v>
      </c>
      <c r="O21" s="6" t="n">
        <v>36</v>
      </c>
      <c r="P21" s="6" t="n">
        <v>36</v>
      </c>
      <c r="Q21" s="6" t="n">
        <v>35</v>
      </c>
      <c r="R21" s="6" t="n">
        <v>34</v>
      </c>
      <c r="S21" s="7" t="n">
        <v>33</v>
      </c>
    </row>
    <row r="22" customFormat="false" ht="15" hidden="false" customHeight="false" outlineLevel="0" collapsed="false">
      <c r="A22" s="8" t="s">
        <v>38</v>
      </c>
      <c r="B22" s="9" t="n">
        <f aca="false">SUM(B5:B21)</f>
        <v>2122</v>
      </c>
      <c r="C22" s="9" t="n">
        <f aca="false">SUM(C5:C21)</f>
        <v>2157</v>
      </c>
      <c r="D22" s="9" t="n">
        <f aca="false">SUM(D5:D21)</f>
        <v>2189</v>
      </c>
      <c r="E22" s="9" t="n">
        <f aca="false">SUM(E5:E21)</f>
        <v>2180</v>
      </c>
      <c r="F22" s="9" t="n">
        <f aca="false">SUM(F5:F21)</f>
        <v>2200</v>
      </c>
      <c r="G22" s="9" t="n">
        <f aca="false">SUM(G5:G21)</f>
        <v>2214</v>
      </c>
      <c r="H22" s="9" t="n">
        <f aca="false">SUM(H5:H21)</f>
        <v>2202</v>
      </c>
      <c r="I22" s="9" t="n">
        <f aca="false">SUM(I5:I21)</f>
        <v>2226</v>
      </c>
      <c r="J22" s="9" t="n">
        <f aca="false">SUM(J5:J21)</f>
        <v>2229</v>
      </c>
      <c r="K22" s="9" t="n">
        <f aca="false">SUM(K5:K21)</f>
        <v>2221</v>
      </c>
      <c r="L22" s="9" t="n">
        <f aca="false">SUM(L5:L21)</f>
        <v>2227</v>
      </c>
      <c r="M22" s="9" t="n">
        <f aca="false">SUM(M5:M21)</f>
        <v>2158</v>
      </c>
      <c r="N22" s="9" t="n">
        <f aca="false">SUM(N5:N21)</f>
        <v>2111</v>
      </c>
      <c r="O22" s="9" t="n">
        <f aca="false">SUM(O5:O21)</f>
        <v>2135</v>
      </c>
      <c r="P22" s="9" t="n">
        <f aca="false">SUM(P5:P21)</f>
        <v>2152</v>
      </c>
      <c r="Q22" s="9" t="n">
        <f aca="false">SUM(Q5:Q21)</f>
        <v>2187</v>
      </c>
      <c r="R22" s="9" t="n">
        <f aca="false">SUM(R5:R21)</f>
        <v>2156</v>
      </c>
      <c r="S22" s="9" t="n">
        <f aca="false">SUM(S5:S21)</f>
        <v>2123</v>
      </c>
    </row>
    <row r="23" customFormat="false" ht="15" hidden="false" customHeight="false" outlineLevel="0" collapsed="false">
      <c r="A23" s="10" t="s">
        <v>39</v>
      </c>
    </row>
    <row r="24" customFormat="false" ht="15" hidden="false" customHeight="false" outlineLevel="0" collapsed="false">
      <c r="A24" s="5" t="s">
        <v>40</v>
      </c>
      <c r="B24" s="6" t="n">
        <v>2122</v>
      </c>
      <c r="C24" s="6" t="n">
        <v>2157</v>
      </c>
      <c r="D24" s="6" t="n">
        <v>2189</v>
      </c>
      <c r="E24" s="6" t="n">
        <v>2180</v>
      </c>
      <c r="F24" s="6" t="n">
        <v>2200</v>
      </c>
      <c r="G24" s="6" t="n">
        <v>2214</v>
      </c>
      <c r="H24" s="6" t="n">
        <v>2202</v>
      </c>
      <c r="I24" s="6" t="n">
        <v>2226</v>
      </c>
      <c r="J24" s="6" t="n">
        <v>2229</v>
      </c>
      <c r="K24" s="6" t="n">
        <v>2221</v>
      </c>
      <c r="L24" s="6" t="n">
        <v>2227</v>
      </c>
      <c r="M24" s="6" t="n">
        <v>2158</v>
      </c>
      <c r="N24" s="6" t="n">
        <v>2111</v>
      </c>
      <c r="O24" s="6" t="n">
        <v>2135</v>
      </c>
      <c r="P24" s="6" t="n">
        <v>2152</v>
      </c>
      <c r="Q24" s="6" t="n">
        <v>2187</v>
      </c>
      <c r="R24" s="6" t="n">
        <v>2156</v>
      </c>
      <c r="S24" s="6" t="n">
        <v>2123</v>
      </c>
    </row>
    <row r="26" customFormat="false" ht="15" hidden="false" customHeight="false" outlineLevel="0" collapsed="false">
      <c r="A26" s="8" t="s">
        <v>73</v>
      </c>
      <c r="C26" s="14" t="n">
        <f aca="false">C22-B22</f>
        <v>35</v>
      </c>
      <c r="D26" s="14" t="n">
        <f aca="false">D22-C22</f>
        <v>32</v>
      </c>
      <c r="E26" s="14" t="n">
        <f aca="false">E22-D22</f>
        <v>-9</v>
      </c>
      <c r="F26" s="14" t="n">
        <f aca="false">F22-E22</f>
        <v>20</v>
      </c>
      <c r="G26" s="14" t="n">
        <f aca="false">G22-F22</f>
        <v>14</v>
      </c>
      <c r="H26" s="14" t="n">
        <f aca="false">H22-G22</f>
        <v>-12</v>
      </c>
      <c r="I26" s="14" t="n">
        <f aca="false">I22-H22</f>
        <v>24</v>
      </c>
      <c r="J26" s="14" t="n">
        <f aca="false">J22-I22</f>
        <v>3</v>
      </c>
      <c r="K26" s="14" t="n">
        <f aca="false">K22-J22</f>
        <v>-8</v>
      </c>
      <c r="L26" s="14" t="n">
        <f aca="false">L22-K22</f>
        <v>6</v>
      </c>
      <c r="M26" s="14" t="n">
        <f aca="false">M22-L22</f>
        <v>-69</v>
      </c>
      <c r="N26" s="14" t="n">
        <f aca="false">N22-M22</f>
        <v>-47</v>
      </c>
      <c r="O26" s="14" t="n">
        <f aca="false">O22-N22</f>
        <v>24</v>
      </c>
      <c r="P26" s="14" t="n">
        <f aca="false">P22-O22</f>
        <v>17</v>
      </c>
      <c r="Q26" s="14" t="n">
        <f aca="false">Q22-P22</f>
        <v>35</v>
      </c>
      <c r="R26" s="14" t="n">
        <f aca="false">R22-Q22</f>
        <v>-31</v>
      </c>
      <c r="S26" s="14" t="n">
        <f aca="false">S22-R22</f>
        <v>-33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8" t="s">
        <v>74</v>
      </c>
      <c r="B1" s="15" t="s">
        <v>75</v>
      </c>
    </row>
    <row r="2" customFormat="false" ht="44" hidden="false" customHeight="false" outlineLevel="0" collapsed="false">
      <c r="A2" s="5" t="s">
        <v>76</v>
      </c>
      <c r="B2" s="16" t="s">
        <v>77</v>
      </c>
    </row>
    <row r="3" customFormat="false" ht="29.85" hidden="false" customHeight="false" outlineLevel="0" collapsed="false">
      <c r="A3" s="5" t="s">
        <v>78</v>
      </c>
      <c r="B3" s="16" t="s">
        <v>79</v>
      </c>
    </row>
    <row r="4" customFormat="false" ht="29.85" hidden="false" customHeight="false" outlineLevel="0" collapsed="false">
      <c r="A4" s="17" t="s">
        <v>80</v>
      </c>
      <c r="B4" s="18" t="s">
        <v>81</v>
      </c>
    </row>
    <row r="5" customFormat="false" ht="29.85" hidden="false" customHeight="false" outlineLevel="0" collapsed="false">
      <c r="A5" s="17" t="s">
        <v>82</v>
      </c>
      <c r="B5" s="18" t="s">
        <v>83</v>
      </c>
    </row>
    <row r="6" customFormat="false" ht="15" hidden="false" customHeight="false" outlineLevel="0" collapsed="false">
      <c r="A6" s="5" t="s">
        <v>84</v>
      </c>
      <c r="B6" s="18" t="s">
        <v>85</v>
      </c>
    </row>
    <row r="7" customFormat="false" ht="44" hidden="false" customHeight="false" outlineLevel="0" collapsed="false">
      <c r="A7" s="5" t="s">
        <v>86</v>
      </c>
      <c r="B7" s="16" t="s">
        <v>87</v>
      </c>
    </row>
    <row r="8" customFormat="false" ht="15" hidden="false" customHeight="false" outlineLevel="0" collapsed="false">
      <c r="A8" s="17" t="s">
        <v>88</v>
      </c>
      <c r="B8" s="18" t="s">
        <v>89</v>
      </c>
    </row>
    <row r="9" customFormat="false" ht="15" hidden="false" customHeight="false" outlineLevel="0" collapsed="false">
      <c r="A9" s="5" t="s">
        <v>90</v>
      </c>
      <c r="B9" s="18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2026-10-13T07:39:36Z</dcterms:created>
  <dc:creator>openpyxl</dc:creator>
  <dc:description/>
  <dc:language>en-US</dc:language>
  <cp:lastModifiedBy/>
  <dcterms:modified xsi:type="dcterms:W3CDTF">2026-10-13T07:39:36Z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