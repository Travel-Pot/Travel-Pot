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6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comments6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어린이집수" sheetId="1" state="visible" r:id="rId3"/>
    <sheet name="정원(명)" sheetId="2" state="visible" r:id="rId4"/>
    <sheet name="현원(명)" sheetId="3" state="visible" r:id="rId5"/>
    <sheet name="충족률" sheetId="4" state="visible" r:id="rId6"/>
    <sheet name="어린이집당 평균" sheetId="5" state="visible" r:id="rId7"/>
    <sheet name="원자료" sheetId="6" state="visible" r:id="rId8"/>
    <sheet name="출처·메모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6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J35" authorId="0">
      <text>
        <r>
          <rPr>
            <sz val="10"/>
            <rFont val="Noto Sans CJK SC"/>
            <family val="2"/>
          </rPr>
          <t xml:space="preserve">원본 파일에는 </t>
        </r>
        <r>
          <rPr>
            <sz val="10"/>
            <rFont val="Arial"/>
            <family val="2"/>
          </rPr>
          <t xml:space="preserve">497,296</t>
        </r>
        <r>
          <rPr>
            <sz val="10"/>
            <rFont val="Noto Sans CJK SC"/>
            <family val="2"/>
          </rPr>
          <t xml:space="preserve">으로 적혀 있으나 </t>
        </r>
        <r>
          <rPr>
            <sz val="10"/>
            <rFont val="Arial"/>
            <family val="2"/>
          </rPr>
          <t xml:space="preserve">17</t>
        </r>
        <r>
          <rPr>
            <sz val="10"/>
            <rFont val="Noto Sans CJK SC"/>
            <family val="2"/>
          </rPr>
          <t xml:space="preserve">개 시도 합계가 전국</t>
        </r>
        <r>
          <rPr>
            <sz val="10"/>
            <rFont val="Arial"/>
            <family val="2"/>
          </rPr>
          <t xml:space="preserve">(</t>
        </r>
        <r>
          <rPr>
            <sz val="10"/>
            <rFont val="Noto Sans CJK SC"/>
            <family val="2"/>
          </rPr>
          <t xml:space="preserve">계</t>
        </r>
        <r>
          <rPr>
            <sz val="10"/>
            <rFont val="Arial"/>
            <family val="2"/>
          </rPr>
          <t xml:space="preserve">)</t>
        </r>
        <r>
          <rPr>
            <sz val="10"/>
            <rFont val="Noto Sans CJK SC"/>
            <family val="2"/>
          </rPr>
          <t xml:space="preserve">와 정확히 </t>
        </r>
        <r>
          <rPr>
            <sz val="10"/>
            <rFont val="Arial"/>
            <family val="2"/>
          </rPr>
          <t xml:space="preserve">30,000 </t>
        </r>
        <r>
          <rPr>
            <sz val="10"/>
            <rFont val="Noto Sans CJK SC"/>
            <family val="2"/>
          </rPr>
          <t xml:space="preserve">차이 나고 앞뒤 연도</t>
        </r>
        <r>
          <rPr>
            <sz val="10"/>
            <rFont val="Arial"/>
            <family val="2"/>
          </rPr>
          <t xml:space="preserve">(2017: 466,020, 2019: 464,409)</t>
        </r>
        <r>
          <rPr>
            <sz val="10"/>
            <rFont val="Noto Sans CJK SC"/>
            <family val="2"/>
          </rPr>
          <t xml:space="preserve">와도 맞지 않아 </t>
        </r>
        <r>
          <rPr>
            <sz val="10"/>
            <rFont val="Arial"/>
            <family val="2"/>
          </rPr>
          <t xml:space="preserve">467,296</t>
        </r>
        <r>
          <rPr>
            <sz val="10"/>
            <rFont val="Noto Sans CJK SC"/>
            <family val="2"/>
          </rPr>
          <t xml:space="preserve">으로 정정함</t>
        </r>
        <r>
          <rPr>
            <sz val="10"/>
            <rFont val="Arial"/>
            <family val="2"/>
          </rPr>
          <t xml:space="preserve">(</t>
        </r>
        <r>
          <rPr>
            <sz val="10"/>
            <rFont val="Noto Sans CJK SC"/>
            <family val="2"/>
          </rPr>
          <t xml:space="preserve">오타로 판단</t>
        </r>
        <r>
          <rPr>
            <sz val="10"/>
            <rFont val="Arial"/>
            <family val="2"/>
          </rPr>
          <t xml:space="preserve">).</t>
        </r>
      </text>
    </comment>
  </commentList>
</comments>
</file>

<file path=xl/sharedStrings.xml><?xml version="1.0" encoding="utf-8"?>
<sst xmlns="http://schemas.openxmlformats.org/spreadsheetml/2006/main" count="206" uniqueCount="57">
  <si>
    <r>
      <rPr>
        <b val="true"/>
        <sz val="14"/>
        <color rgb="FF000000"/>
        <rFont val="Noto Sans CJK SC"/>
        <family val="2"/>
      </rPr>
      <t xml:space="preserve">시도별 어린이집 수 </t>
    </r>
    <r>
      <rPr>
        <b val="true"/>
        <sz val="14"/>
        <color rgb="FF000000"/>
        <rFont val="Arial"/>
        <family val="0"/>
        <charset val="1"/>
      </rPr>
      <t xml:space="preserve">(</t>
    </r>
    <r>
      <rPr>
        <b val="true"/>
        <sz val="14"/>
        <color rgb="FF000000"/>
        <rFont val="Noto Sans CJK SC"/>
        <family val="2"/>
      </rPr>
      <t xml:space="preserve">단위</t>
    </r>
    <r>
      <rPr>
        <b val="true"/>
        <sz val="14"/>
        <color rgb="FF000000"/>
        <rFont val="Arial"/>
        <family val="0"/>
        <charset val="1"/>
      </rPr>
      <t xml:space="preserve">: </t>
    </r>
    <r>
      <rPr>
        <b val="true"/>
        <sz val="14"/>
        <color rgb="FF000000"/>
        <rFont val="Noto Sans CJK SC"/>
        <family val="2"/>
      </rPr>
      <t xml:space="preserve">개소</t>
    </r>
    <r>
      <rPr>
        <b val="true"/>
        <sz val="14"/>
        <color rgb="FF000000"/>
        <rFont val="Arial"/>
        <family val="0"/>
        <charset val="1"/>
      </rPr>
      <t xml:space="preserve">, 2009~2026)</t>
    </r>
  </si>
  <si>
    <r>
      <rPr>
        <i val="true"/>
        <sz val="9"/>
        <color rgb="FF000000"/>
        <rFont val="Arial"/>
        <family val="0"/>
        <charset val="1"/>
      </rPr>
      <t xml:space="preserve">2026</t>
    </r>
    <r>
      <rPr>
        <i val="true"/>
        <sz val="9"/>
        <color rgb="FF000000"/>
        <rFont val="Noto Sans CJK SC"/>
        <family val="2"/>
      </rPr>
      <t xml:space="preserve">은 조회 시점 최신값</t>
    </r>
    <r>
      <rPr>
        <i val="true"/>
        <sz val="9"/>
        <color rgb="FF000000"/>
        <rFont val="Arial"/>
        <family val="0"/>
        <charset val="1"/>
      </rPr>
      <t xml:space="preserve">(</t>
    </r>
    <r>
      <rPr>
        <i val="true"/>
        <sz val="9"/>
        <color rgb="FF000000"/>
        <rFont val="Noto Sans CJK SC"/>
        <family val="2"/>
      </rPr>
      <t xml:space="preserve">기준월 미확인</t>
    </r>
    <r>
      <rPr>
        <i val="true"/>
        <sz val="9"/>
        <color rgb="FF000000"/>
        <rFont val="Arial"/>
        <family val="0"/>
        <charset val="1"/>
      </rPr>
      <t xml:space="preserve">). 2023</t>
    </r>
    <r>
      <rPr>
        <i val="true"/>
        <sz val="9"/>
        <color rgb="FF000000"/>
        <rFont val="Noto Sans CJK SC"/>
        <family val="2"/>
      </rPr>
      <t xml:space="preserve">년부터 포털이 광주</t>
    </r>
    <r>
      <rPr>
        <i val="true"/>
        <sz val="9"/>
        <color rgb="FF000000"/>
        <rFont val="Arial"/>
        <family val="0"/>
        <charset val="1"/>
      </rPr>
      <t xml:space="preserve">+</t>
    </r>
    <r>
      <rPr>
        <i val="true"/>
        <sz val="9"/>
        <color rgb="FF000000"/>
        <rFont val="Noto Sans CJK SC"/>
        <family val="2"/>
      </rPr>
      <t xml:space="preserve">전남을 합쳐서 제공</t>
    </r>
    <r>
      <rPr>
        <i val="true"/>
        <sz val="9"/>
        <color rgb="FF000000"/>
        <rFont val="Arial"/>
        <family val="0"/>
        <charset val="1"/>
      </rPr>
      <t xml:space="preserve">.</t>
    </r>
  </si>
  <si>
    <t xml:space="preserve">시도</t>
  </si>
  <si>
    <t xml:space="preserve">서울</t>
  </si>
  <si>
    <t xml:space="preserve">부산</t>
  </si>
  <si>
    <t xml:space="preserve">대구</t>
  </si>
  <si>
    <t xml:space="preserve">인천</t>
  </si>
  <si>
    <t xml:space="preserve">대전</t>
  </si>
  <si>
    <t xml:space="preserve">울산</t>
  </si>
  <si>
    <t xml:space="preserve">세종</t>
  </si>
  <si>
    <t xml:space="preserve">경기</t>
  </si>
  <si>
    <t xml:space="preserve">강원</t>
  </si>
  <si>
    <t xml:space="preserve">충북</t>
  </si>
  <si>
    <t xml:space="preserve">충남</t>
  </si>
  <si>
    <t xml:space="preserve">전북</t>
  </si>
  <si>
    <t xml:space="preserve">경북</t>
  </si>
  <si>
    <t xml:space="preserve">경남</t>
  </si>
  <si>
    <t xml:space="preserve">제주</t>
  </si>
  <si>
    <r>
      <rPr>
        <b val="true"/>
        <sz val="11"/>
        <color rgb="FF000000"/>
        <rFont val="Noto Sans CJK SC"/>
        <family val="2"/>
      </rPr>
      <t xml:space="preserve">전남광주</t>
    </r>
    <r>
      <rPr>
        <b val="true"/>
        <sz val="11"/>
        <color rgb="FF000000"/>
        <rFont val="Arial"/>
        <family val="0"/>
        <charset val="1"/>
      </rPr>
      <t xml:space="preserve">(</t>
    </r>
    <r>
      <rPr>
        <b val="true"/>
        <sz val="11"/>
        <color rgb="FF000000"/>
        <rFont val="Noto Sans CJK SC"/>
        <family val="2"/>
      </rPr>
      <t xml:space="preserve">광주</t>
    </r>
    <r>
      <rPr>
        <b val="true"/>
        <sz val="11"/>
        <color rgb="FF000000"/>
        <rFont val="Arial"/>
        <family val="0"/>
        <charset val="1"/>
      </rPr>
      <t xml:space="preserve">+</t>
    </r>
    <r>
      <rPr>
        <b val="true"/>
        <sz val="11"/>
        <color rgb="FF000000"/>
        <rFont val="Noto Sans CJK SC"/>
        <family val="2"/>
      </rPr>
      <t xml:space="preserve">전남</t>
    </r>
    <r>
      <rPr>
        <b val="true"/>
        <sz val="11"/>
        <color rgb="FF000000"/>
        <rFont val="Arial"/>
        <family val="0"/>
        <charset val="1"/>
      </rPr>
      <t xml:space="preserve">)</t>
    </r>
  </si>
  <si>
    <r>
      <rPr>
        <b val="true"/>
        <sz val="11"/>
        <color rgb="FF000000"/>
        <rFont val="Noto Sans CJK SC"/>
        <family val="2"/>
      </rPr>
      <t xml:space="preserve">전국 합계</t>
    </r>
    <r>
      <rPr>
        <b val="true"/>
        <sz val="11"/>
        <color rgb="FF000000"/>
        <rFont val="Arial"/>
        <family val="0"/>
        <charset val="1"/>
      </rPr>
      <t xml:space="preserve">(</t>
    </r>
    <r>
      <rPr>
        <b val="true"/>
        <sz val="11"/>
        <color rgb="FF000000"/>
        <rFont val="Noto Sans CJK SC"/>
        <family val="2"/>
      </rPr>
      <t xml:space="preserve">수식</t>
    </r>
    <r>
      <rPr>
        <b val="true"/>
        <sz val="11"/>
        <color rgb="FF000000"/>
        <rFont val="Arial"/>
        <family val="0"/>
        <charset val="1"/>
      </rPr>
      <t xml:space="preserve">)</t>
    </r>
  </si>
  <si>
    <r>
      <rPr>
        <sz val="11"/>
        <color rgb="FF000000"/>
        <rFont val="Noto Sans CJK SC"/>
        <family val="2"/>
      </rPr>
      <t xml:space="preserve">전국</t>
    </r>
    <r>
      <rPr>
        <sz val="11"/>
        <color rgb="FF000000"/>
        <rFont val="Arial"/>
        <family val="0"/>
        <charset val="1"/>
      </rPr>
      <t xml:space="preserve">(</t>
    </r>
    <r>
      <rPr>
        <sz val="11"/>
        <color rgb="FF000000"/>
        <rFont val="Noto Sans CJK SC"/>
        <family val="2"/>
      </rPr>
      <t xml:space="preserve">공표값</t>
    </r>
    <r>
      <rPr>
        <sz val="11"/>
        <color rgb="FF000000"/>
        <rFont val="Arial"/>
        <family val="0"/>
        <charset val="1"/>
      </rPr>
      <t xml:space="preserve">)</t>
    </r>
  </si>
  <si>
    <r>
      <rPr>
        <i val="true"/>
        <sz val="11"/>
        <color rgb="FF000000"/>
        <rFont val="Noto Sans CJK SC"/>
        <family val="2"/>
      </rPr>
      <t xml:space="preserve">검증</t>
    </r>
    <r>
      <rPr>
        <i val="true"/>
        <sz val="11"/>
        <color rgb="FF000000"/>
        <rFont val="Arial"/>
        <family val="0"/>
        <charset val="1"/>
      </rPr>
      <t xml:space="preserve">(</t>
    </r>
    <r>
      <rPr>
        <i val="true"/>
        <sz val="11"/>
        <color rgb="FF000000"/>
        <rFont val="Noto Sans CJK SC"/>
        <family val="2"/>
      </rPr>
      <t xml:space="preserve">합계</t>
    </r>
    <r>
      <rPr>
        <i val="true"/>
        <sz val="11"/>
        <color rgb="FF000000"/>
        <rFont val="Arial"/>
        <family val="0"/>
        <charset val="1"/>
      </rPr>
      <t xml:space="preserve">-</t>
    </r>
    <r>
      <rPr>
        <i val="true"/>
        <sz val="11"/>
        <color rgb="FF000000"/>
        <rFont val="Noto Sans CJK SC"/>
        <family val="2"/>
      </rPr>
      <t xml:space="preserve">공표값</t>
    </r>
    <r>
      <rPr>
        <i val="true"/>
        <sz val="11"/>
        <color rgb="FF000000"/>
        <rFont val="Arial"/>
        <family val="0"/>
        <charset val="1"/>
      </rPr>
      <t xml:space="preserve">)</t>
    </r>
  </si>
  <si>
    <r>
      <rPr>
        <b val="true"/>
        <sz val="14"/>
        <color rgb="FF000000"/>
        <rFont val="Noto Sans CJK SC"/>
        <family val="2"/>
      </rPr>
      <t xml:space="preserve">시도별 어린이집 정원 </t>
    </r>
    <r>
      <rPr>
        <b val="true"/>
        <sz val="14"/>
        <color rgb="FF000000"/>
        <rFont val="Arial"/>
        <family val="0"/>
        <charset val="1"/>
      </rPr>
      <t xml:space="preserve">(</t>
    </r>
    <r>
      <rPr>
        <b val="true"/>
        <sz val="14"/>
        <color rgb="FF000000"/>
        <rFont val="Noto Sans CJK SC"/>
        <family val="2"/>
      </rPr>
      <t xml:space="preserve">단위</t>
    </r>
    <r>
      <rPr>
        <b val="true"/>
        <sz val="14"/>
        <color rgb="FF000000"/>
        <rFont val="Arial"/>
        <family val="0"/>
        <charset val="1"/>
      </rPr>
      <t xml:space="preserve">: </t>
    </r>
    <r>
      <rPr>
        <b val="true"/>
        <sz val="14"/>
        <color rgb="FF000000"/>
        <rFont val="Noto Sans CJK SC"/>
        <family val="2"/>
      </rPr>
      <t xml:space="preserve">명</t>
    </r>
    <r>
      <rPr>
        <b val="true"/>
        <sz val="14"/>
        <color rgb="FF000000"/>
        <rFont val="Arial"/>
        <family val="0"/>
        <charset val="1"/>
      </rPr>
      <t xml:space="preserve">, 2010~2022)</t>
    </r>
  </si>
  <si>
    <r>
      <rPr>
        <i val="true"/>
        <sz val="9"/>
        <color rgb="FF000000"/>
        <rFont val="Noto Sans CJK SC"/>
        <family val="2"/>
      </rPr>
      <t xml:space="preserve">정원 </t>
    </r>
    <r>
      <rPr>
        <i val="true"/>
        <sz val="9"/>
        <color rgb="FF000000"/>
        <rFont val="Arial"/>
        <family val="0"/>
        <charset val="1"/>
      </rPr>
      <t xml:space="preserve">= </t>
    </r>
    <r>
      <rPr>
        <i val="true"/>
        <sz val="9"/>
        <color rgb="FF000000"/>
        <rFont val="Noto Sans CJK SC"/>
        <family val="2"/>
      </rPr>
      <t xml:space="preserve">어린이집이 인가받은 최대 수용 인원의 합계</t>
    </r>
    <r>
      <rPr>
        <i val="true"/>
        <sz val="9"/>
        <color rgb="FF000000"/>
        <rFont val="Arial"/>
        <family val="0"/>
        <charset val="1"/>
      </rPr>
      <t xml:space="preserve">.</t>
    </r>
  </si>
  <si>
    <r>
      <rPr>
        <b val="true"/>
        <sz val="14"/>
        <color rgb="FF000000"/>
        <rFont val="Noto Sans CJK SC"/>
        <family val="2"/>
      </rPr>
      <t xml:space="preserve">시도별 어린이집 현원 </t>
    </r>
    <r>
      <rPr>
        <b val="true"/>
        <sz val="14"/>
        <color rgb="FF000000"/>
        <rFont val="Arial"/>
        <family val="0"/>
        <charset val="1"/>
      </rPr>
      <t xml:space="preserve">(</t>
    </r>
    <r>
      <rPr>
        <b val="true"/>
        <sz val="14"/>
        <color rgb="FF000000"/>
        <rFont val="Noto Sans CJK SC"/>
        <family val="2"/>
      </rPr>
      <t xml:space="preserve">단위</t>
    </r>
    <r>
      <rPr>
        <b val="true"/>
        <sz val="14"/>
        <color rgb="FF000000"/>
        <rFont val="Arial"/>
        <family val="0"/>
        <charset val="1"/>
      </rPr>
      <t xml:space="preserve">: </t>
    </r>
    <r>
      <rPr>
        <b val="true"/>
        <sz val="14"/>
        <color rgb="FF000000"/>
        <rFont val="Noto Sans CJK SC"/>
        <family val="2"/>
      </rPr>
      <t xml:space="preserve">명</t>
    </r>
    <r>
      <rPr>
        <b val="true"/>
        <sz val="14"/>
        <color rgb="FF000000"/>
        <rFont val="Arial"/>
        <family val="0"/>
        <charset val="1"/>
      </rPr>
      <t xml:space="preserve">, 2010~2022)</t>
    </r>
  </si>
  <si>
    <r>
      <rPr>
        <i val="true"/>
        <sz val="9"/>
        <color rgb="FF000000"/>
        <rFont val="Noto Sans CJK SC"/>
        <family val="2"/>
      </rPr>
      <t xml:space="preserve">현원 </t>
    </r>
    <r>
      <rPr>
        <i val="true"/>
        <sz val="9"/>
        <color rgb="FF000000"/>
        <rFont val="Arial"/>
        <family val="0"/>
        <charset val="1"/>
      </rPr>
      <t xml:space="preserve">= </t>
    </r>
    <r>
      <rPr>
        <i val="true"/>
        <sz val="9"/>
        <color rgb="FF000000"/>
        <rFont val="Noto Sans CJK SC"/>
        <family val="2"/>
      </rPr>
      <t xml:space="preserve">실제 어린이집에 다니는 아동 수의 합계</t>
    </r>
    <r>
      <rPr>
        <i val="true"/>
        <sz val="9"/>
        <color rgb="FF000000"/>
        <rFont val="Arial"/>
        <family val="0"/>
        <charset val="1"/>
      </rPr>
      <t xml:space="preserve">.</t>
    </r>
  </si>
  <si>
    <r>
      <rPr>
        <b val="true"/>
        <sz val="14"/>
        <color rgb="FF000000"/>
        <rFont val="Noto Sans CJK SC"/>
        <family val="2"/>
      </rPr>
      <t xml:space="preserve">정원 충족률 </t>
    </r>
    <r>
      <rPr>
        <b val="true"/>
        <sz val="14"/>
        <color rgb="FF000000"/>
        <rFont val="Arial"/>
        <family val="0"/>
        <charset val="1"/>
      </rPr>
      <t xml:space="preserve">(</t>
    </r>
    <r>
      <rPr>
        <b val="true"/>
        <sz val="14"/>
        <color rgb="FF000000"/>
        <rFont val="Noto Sans CJK SC"/>
        <family val="2"/>
      </rPr>
      <t xml:space="preserve">현원 </t>
    </r>
    <r>
      <rPr>
        <b val="true"/>
        <sz val="14"/>
        <color rgb="FF000000"/>
        <rFont val="Arial"/>
        <family val="0"/>
        <charset val="1"/>
      </rPr>
      <t xml:space="preserve">÷ </t>
    </r>
    <r>
      <rPr>
        <b val="true"/>
        <sz val="14"/>
        <color rgb="FF000000"/>
        <rFont val="Noto Sans CJK SC"/>
        <family val="2"/>
      </rPr>
      <t xml:space="preserve">정원</t>
    </r>
    <r>
      <rPr>
        <b val="true"/>
        <sz val="14"/>
        <color rgb="FF000000"/>
        <rFont val="Arial"/>
        <family val="0"/>
        <charset val="1"/>
      </rPr>
      <t xml:space="preserve">)</t>
    </r>
  </si>
  <si>
    <r>
      <rPr>
        <i val="true"/>
        <sz val="9"/>
        <color rgb="FF000000"/>
        <rFont val="Noto Sans CJK SC"/>
        <family val="2"/>
      </rPr>
      <t xml:space="preserve">정원 대비 실제 다니는 아동 비율</t>
    </r>
    <r>
      <rPr>
        <i val="true"/>
        <sz val="9"/>
        <color rgb="FF000000"/>
        <rFont val="Arial"/>
        <family val="0"/>
        <charset val="1"/>
      </rPr>
      <t xml:space="preserve">. </t>
    </r>
    <r>
      <rPr>
        <i val="true"/>
        <sz val="9"/>
        <color rgb="FF000000"/>
        <rFont val="Noto Sans CJK SC"/>
        <family val="2"/>
      </rPr>
      <t xml:space="preserve">낮을수록 빈자리가 많음</t>
    </r>
    <r>
      <rPr>
        <i val="true"/>
        <sz val="9"/>
        <color rgb="FF000000"/>
        <rFont val="Arial"/>
        <family val="0"/>
        <charset val="1"/>
      </rPr>
      <t xml:space="preserve">. </t>
    </r>
    <r>
      <rPr>
        <i val="true"/>
        <sz val="9"/>
        <color rgb="FF000000"/>
        <rFont val="Noto Sans CJK SC"/>
        <family val="2"/>
      </rPr>
      <t xml:space="preserve">세종 </t>
    </r>
    <r>
      <rPr>
        <i val="true"/>
        <sz val="9"/>
        <color rgb="FF000000"/>
        <rFont val="Arial"/>
        <family val="0"/>
        <charset val="1"/>
      </rPr>
      <t xml:space="preserve">2010~2011</t>
    </r>
    <r>
      <rPr>
        <i val="true"/>
        <sz val="9"/>
        <color rgb="FF000000"/>
        <rFont val="Noto Sans CJK SC"/>
        <family val="2"/>
      </rPr>
      <t xml:space="preserve">은 해당 없음</t>
    </r>
    <r>
      <rPr>
        <i val="true"/>
        <sz val="9"/>
        <color rgb="FF000000"/>
        <rFont val="Arial"/>
        <family val="0"/>
        <charset val="1"/>
      </rPr>
      <t xml:space="preserve">.</t>
    </r>
  </si>
  <si>
    <r>
      <rPr>
        <b val="true"/>
        <sz val="11"/>
        <color rgb="FF000000"/>
        <rFont val="Noto Sans CJK SC"/>
        <family val="2"/>
      </rPr>
      <t xml:space="preserve">정원 충족률</t>
    </r>
    <r>
      <rPr>
        <b val="true"/>
        <sz val="11"/>
        <color rgb="FF000000"/>
        <rFont val="Arial"/>
        <family val="0"/>
        <charset val="1"/>
      </rPr>
      <t xml:space="preserve">(%)</t>
    </r>
  </si>
  <si>
    <r>
      <rPr>
        <sz val="11"/>
        <color rgb="FF000000"/>
        <rFont val="Noto Sans CJK SC"/>
        <family val="2"/>
      </rPr>
      <t xml:space="preserve">전남광주</t>
    </r>
    <r>
      <rPr>
        <sz val="11"/>
        <color rgb="FF000000"/>
        <rFont val="Arial"/>
        <family val="0"/>
        <charset val="1"/>
      </rPr>
      <t xml:space="preserve">(</t>
    </r>
    <r>
      <rPr>
        <sz val="11"/>
        <color rgb="FF000000"/>
        <rFont val="Noto Sans CJK SC"/>
        <family val="2"/>
      </rPr>
      <t xml:space="preserve">광주</t>
    </r>
    <r>
      <rPr>
        <sz val="11"/>
        <color rgb="FF000000"/>
        <rFont val="Arial"/>
        <family val="0"/>
        <charset val="1"/>
      </rPr>
      <t xml:space="preserve">+</t>
    </r>
    <r>
      <rPr>
        <sz val="11"/>
        <color rgb="FF000000"/>
        <rFont val="Noto Sans CJK SC"/>
        <family val="2"/>
      </rPr>
      <t xml:space="preserve">전남</t>
    </r>
    <r>
      <rPr>
        <sz val="11"/>
        <color rgb="FF000000"/>
        <rFont val="Arial"/>
        <family val="0"/>
        <charset val="1"/>
      </rPr>
      <t xml:space="preserve">)</t>
    </r>
  </si>
  <si>
    <t xml:space="preserve">전국</t>
  </si>
  <si>
    <r>
      <rPr>
        <b val="true"/>
        <sz val="14"/>
        <color rgb="FF000000"/>
        <rFont val="Noto Sans CJK SC"/>
        <family val="2"/>
      </rPr>
      <t xml:space="preserve">어린이집당 평균 정원</t>
    </r>
    <r>
      <rPr>
        <b val="true"/>
        <sz val="14"/>
        <color rgb="FF000000"/>
        <rFont val="Arial"/>
        <family val="0"/>
        <charset val="1"/>
      </rPr>
      <t xml:space="preserve">·</t>
    </r>
    <r>
      <rPr>
        <b val="true"/>
        <sz val="14"/>
        <color rgb="FF000000"/>
        <rFont val="Noto Sans CJK SC"/>
        <family val="2"/>
      </rPr>
      <t xml:space="preserve">현원 </t>
    </r>
    <r>
      <rPr>
        <b val="true"/>
        <sz val="14"/>
        <color rgb="FF000000"/>
        <rFont val="Arial"/>
        <family val="0"/>
        <charset val="1"/>
      </rPr>
      <t xml:space="preserve">(</t>
    </r>
    <r>
      <rPr>
        <b val="true"/>
        <sz val="14"/>
        <color rgb="FF000000"/>
        <rFont val="Noto Sans CJK SC"/>
        <family val="2"/>
      </rPr>
      <t xml:space="preserve">단위</t>
    </r>
    <r>
      <rPr>
        <b val="true"/>
        <sz val="14"/>
        <color rgb="FF000000"/>
        <rFont val="Arial"/>
        <family val="0"/>
        <charset val="1"/>
      </rPr>
      <t xml:space="preserve">: </t>
    </r>
    <r>
      <rPr>
        <b val="true"/>
        <sz val="14"/>
        <color rgb="FF000000"/>
        <rFont val="Noto Sans CJK SC"/>
        <family val="2"/>
      </rPr>
      <t xml:space="preserve">명</t>
    </r>
    <r>
      <rPr>
        <b val="true"/>
        <sz val="14"/>
        <color rgb="FF000000"/>
        <rFont val="Arial"/>
        <family val="0"/>
        <charset val="1"/>
      </rPr>
      <t xml:space="preserve">/</t>
    </r>
    <r>
      <rPr>
        <b val="true"/>
        <sz val="14"/>
        <color rgb="FF000000"/>
        <rFont val="Noto Sans CJK SC"/>
        <family val="2"/>
      </rPr>
      <t xml:space="preserve">개소</t>
    </r>
    <r>
      <rPr>
        <b val="true"/>
        <sz val="14"/>
        <color rgb="FF000000"/>
        <rFont val="Arial"/>
        <family val="0"/>
        <charset val="1"/>
      </rPr>
      <t xml:space="preserve">)</t>
    </r>
  </si>
  <si>
    <r>
      <rPr>
        <i val="true"/>
        <sz val="9"/>
        <color rgb="FF000000"/>
        <rFont val="Noto Sans CJK SC"/>
        <family val="2"/>
      </rPr>
      <t xml:space="preserve">정원</t>
    </r>
    <r>
      <rPr>
        <i val="true"/>
        <sz val="9"/>
        <color rgb="FF000000"/>
        <rFont val="Arial"/>
        <family val="0"/>
        <charset val="1"/>
      </rPr>
      <t xml:space="preserve">(</t>
    </r>
    <r>
      <rPr>
        <i val="true"/>
        <sz val="9"/>
        <color rgb="FF000000"/>
        <rFont val="Noto Sans CJK SC"/>
        <family val="2"/>
      </rPr>
      <t xml:space="preserve">또는 현원</t>
    </r>
    <r>
      <rPr>
        <i val="true"/>
        <sz val="9"/>
        <color rgb="FF000000"/>
        <rFont val="Arial"/>
        <family val="0"/>
        <charset val="1"/>
      </rPr>
      <t xml:space="preserve">) ÷ </t>
    </r>
    <r>
      <rPr>
        <i val="true"/>
        <sz val="9"/>
        <color rgb="FF000000"/>
        <rFont val="Noto Sans CJK SC"/>
        <family val="2"/>
      </rPr>
      <t xml:space="preserve">어린이집 수</t>
    </r>
    <r>
      <rPr>
        <i val="true"/>
        <sz val="9"/>
        <color rgb="FF000000"/>
        <rFont val="Arial"/>
        <family val="0"/>
        <charset val="1"/>
      </rPr>
      <t xml:space="preserve">.</t>
    </r>
  </si>
  <si>
    <r>
      <rPr>
        <b val="true"/>
        <sz val="11"/>
        <color rgb="FF000000"/>
        <rFont val="Noto Sans CJK SC"/>
        <family val="2"/>
      </rPr>
      <t xml:space="preserve">어린이집당 평균 정원</t>
    </r>
    <r>
      <rPr>
        <b val="true"/>
        <sz val="11"/>
        <color rgb="FF000000"/>
        <rFont val="Arial"/>
        <family val="0"/>
        <charset val="1"/>
      </rPr>
      <t xml:space="preserve">(</t>
    </r>
    <r>
      <rPr>
        <b val="true"/>
        <sz val="11"/>
        <color rgb="FF000000"/>
        <rFont val="Noto Sans CJK SC"/>
        <family val="2"/>
      </rPr>
      <t xml:space="preserve">명</t>
    </r>
    <r>
      <rPr>
        <b val="true"/>
        <sz val="11"/>
        <color rgb="FF000000"/>
        <rFont val="Arial"/>
        <family val="0"/>
        <charset val="1"/>
      </rPr>
      <t xml:space="preserve">)</t>
    </r>
  </si>
  <si>
    <r>
      <rPr>
        <b val="true"/>
        <sz val="11"/>
        <color rgb="FF000000"/>
        <rFont val="Noto Sans CJK SC"/>
        <family val="2"/>
      </rPr>
      <t xml:space="preserve">어린이집당 평균 현원</t>
    </r>
    <r>
      <rPr>
        <b val="true"/>
        <sz val="11"/>
        <color rgb="FF000000"/>
        <rFont val="Arial"/>
        <family val="0"/>
        <charset val="1"/>
      </rPr>
      <t xml:space="preserve">(</t>
    </r>
    <r>
      <rPr>
        <b val="true"/>
        <sz val="11"/>
        <color rgb="FF000000"/>
        <rFont val="Noto Sans CJK SC"/>
        <family val="2"/>
      </rPr>
      <t xml:space="preserve">명</t>
    </r>
    <r>
      <rPr>
        <b val="true"/>
        <sz val="11"/>
        <color rgb="FF000000"/>
        <rFont val="Arial"/>
        <family val="0"/>
        <charset val="1"/>
      </rPr>
      <t xml:space="preserve">)</t>
    </r>
  </si>
  <si>
    <r>
      <rPr>
        <b val="true"/>
        <sz val="13"/>
        <color rgb="FF000000"/>
        <rFont val="Noto Sans CJK SC"/>
        <family val="2"/>
      </rPr>
      <t xml:space="preserve">원자료 </t>
    </r>
    <r>
      <rPr>
        <b val="true"/>
        <sz val="13"/>
        <color rgb="FF000000"/>
        <rFont val="Arial"/>
        <family val="0"/>
        <charset val="1"/>
      </rPr>
      <t xml:space="preserve">(</t>
    </r>
    <r>
      <rPr>
        <b val="true"/>
        <sz val="13"/>
        <color rgb="FF000000"/>
        <rFont val="Noto Sans CJK SC"/>
        <family val="2"/>
      </rPr>
      <t xml:space="preserve">파란 글씨 </t>
    </r>
    <r>
      <rPr>
        <b val="true"/>
        <sz val="13"/>
        <color rgb="FF000000"/>
        <rFont val="Arial"/>
        <family val="0"/>
        <charset val="1"/>
      </rPr>
      <t xml:space="preserve">= </t>
    </r>
    <r>
      <rPr>
        <b val="true"/>
        <sz val="13"/>
        <color rgb="FF000000"/>
        <rFont val="Noto Sans CJK SC"/>
        <family val="2"/>
      </rPr>
      <t xml:space="preserve">입력값</t>
    </r>
    <r>
      <rPr>
        <b val="true"/>
        <sz val="13"/>
        <color rgb="FF000000"/>
        <rFont val="Arial"/>
        <family val="0"/>
        <charset val="1"/>
      </rPr>
      <t xml:space="preserve">, </t>
    </r>
    <r>
      <rPr>
        <b val="true"/>
        <sz val="13"/>
        <color rgb="FF000000"/>
        <rFont val="Noto Sans CJK SC"/>
        <family val="2"/>
      </rPr>
      <t xml:space="preserve">검정 </t>
    </r>
    <r>
      <rPr>
        <b val="true"/>
        <sz val="13"/>
        <color rgb="FF000000"/>
        <rFont val="Arial"/>
        <family val="0"/>
        <charset val="1"/>
      </rPr>
      <t xml:space="preserve">= </t>
    </r>
    <r>
      <rPr>
        <b val="true"/>
        <sz val="13"/>
        <color rgb="FF000000"/>
        <rFont val="Noto Sans CJK SC"/>
        <family val="2"/>
      </rPr>
      <t xml:space="preserve">수식</t>
    </r>
    <r>
      <rPr>
        <b val="true"/>
        <sz val="13"/>
        <color rgb="FF000000"/>
        <rFont val="Arial"/>
        <family val="0"/>
        <charset val="1"/>
      </rPr>
      <t xml:space="preserve">)</t>
    </r>
  </si>
  <si>
    <r>
      <rPr>
        <b val="true"/>
        <sz val="11"/>
        <color rgb="FF000000"/>
        <rFont val="Noto Sans CJK SC"/>
        <family val="2"/>
      </rPr>
      <t xml:space="preserve">어린이집 수</t>
    </r>
    <r>
      <rPr>
        <b val="true"/>
        <sz val="11"/>
        <color rgb="FF000000"/>
        <rFont val="Arial"/>
        <family val="0"/>
        <charset val="1"/>
      </rPr>
      <t xml:space="preserve">(</t>
    </r>
    <r>
      <rPr>
        <b val="true"/>
        <sz val="11"/>
        <color rgb="FF000000"/>
        <rFont val="Noto Sans CJK SC"/>
        <family val="2"/>
      </rPr>
      <t xml:space="preserve">개소</t>
    </r>
    <r>
      <rPr>
        <b val="true"/>
        <sz val="11"/>
        <color rgb="FF000000"/>
        <rFont val="Arial"/>
        <family val="0"/>
        <charset val="1"/>
      </rPr>
      <t xml:space="preserve">)</t>
    </r>
  </si>
  <si>
    <t xml:space="preserve">광주</t>
  </si>
  <si>
    <t xml:space="preserve">전남</t>
  </si>
  <si>
    <r>
      <rPr>
        <b val="true"/>
        <sz val="11"/>
        <color rgb="FF000000"/>
        <rFont val="Noto Sans CJK SC"/>
        <family val="2"/>
      </rPr>
      <t xml:space="preserve">전남광주</t>
    </r>
    <r>
      <rPr>
        <b val="true"/>
        <sz val="11"/>
        <color rgb="FF000000"/>
        <rFont val="Arial"/>
        <family val="0"/>
        <charset val="1"/>
      </rPr>
      <t xml:space="preserve">(</t>
    </r>
    <r>
      <rPr>
        <b val="true"/>
        <sz val="11"/>
        <color rgb="FF000000"/>
        <rFont val="Noto Sans CJK SC"/>
        <family val="2"/>
      </rPr>
      <t xml:space="preserve">합계</t>
    </r>
    <r>
      <rPr>
        <b val="true"/>
        <sz val="11"/>
        <color rgb="FF000000"/>
        <rFont val="Arial"/>
        <family val="0"/>
        <charset val="1"/>
      </rPr>
      <t xml:space="preserve">)</t>
    </r>
  </si>
  <si>
    <r>
      <rPr>
        <b val="true"/>
        <sz val="11"/>
        <color rgb="FF000000"/>
        <rFont val="Noto Sans CJK SC"/>
        <family val="2"/>
      </rPr>
      <t xml:space="preserve">전국</t>
    </r>
    <r>
      <rPr>
        <b val="true"/>
        <sz val="11"/>
        <color rgb="FF000000"/>
        <rFont val="Arial"/>
        <family val="0"/>
        <charset val="1"/>
      </rPr>
      <t xml:space="preserve">(</t>
    </r>
    <r>
      <rPr>
        <b val="true"/>
        <sz val="11"/>
        <color rgb="FF000000"/>
        <rFont val="Noto Sans CJK SC"/>
        <family val="2"/>
      </rPr>
      <t xml:space="preserve">공표값</t>
    </r>
    <r>
      <rPr>
        <b val="true"/>
        <sz val="11"/>
        <color rgb="FF000000"/>
        <rFont val="Arial"/>
        <family val="0"/>
        <charset val="1"/>
      </rPr>
      <t xml:space="preserve">)</t>
    </r>
  </si>
  <si>
    <r>
      <rPr>
        <b val="true"/>
        <sz val="11"/>
        <color rgb="FF000000"/>
        <rFont val="Noto Sans CJK SC"/>
        <family val="2"/>
      </rPr>
      <t xml:space="preserve">정원</t>
    </r>
    <r>
      <rPr>
        <b val="true"/>
        <sz val="11"/>
        <color rgb="FF000000"/>
        <rFont val="Arial"/>
        <family val="0"/>
        <charset val="1"/>
      </rPr>
      <t xml:space="preserve">(</t>
    </r>
    <r>
      <rPr>
        <b val="true"/>
        <sz val="11"/>
        <color rgb="FF000000"/>
        <rFont val="Noto Sans CJK SC"/>
        <family val="2"/>
      </rPr>
      <t xml:space="preserve">명</t>
    </r>
    <r>
      <rPr>
        <b val="true"/>
        <sz val="11"/>
        <color rgb="FF000000"/>
        <rFont val="Arial"/>
        <family val="0"/>
        <charset val="1"/>
      </rPr>
      <t xml:space="preserve">)</t>
    </r>
  </si>
  <si>
    <r>
      <rPr>
        <b val="true"/>
        <sz val="11"/>
        <color rgb="FF000000"/>
        <rFont val="Noto Sans CJK SC"/>
        <family val="2"/>
      </rPr>
      <t xml:space="preserve">현원</t>
    </r>
    <r>
      <rPr>
        <b val="true"/>
        <sz val="11"/>
        <color rgb="FF000000"/>
        <rFont val="Arial"/>
        <family val="0"/>
        <charset val="1"/>
      </rPr>
      <t xml:space="preserve">(</t>
    </r>
    <r>
      <rPr>
        <b val="true"/>
        <sz val="11"/>
        <color rgb="FF000000"/>
        <rFont val="Noto Sans CJK SC"/>
        <family val="2"/>
      </rPr>
      <t xml:space="preserve">명</t>
    </r>
    <r>
      <rPr>
        <b val="true"/>
        <sz val="11"/>
        <color rgb="FF000000"/>
        <rFont val="Arial"/>
        <family val="0"/>
        <charset val="1"/>
      </rPr>
      <t xml:space="preserve">)</t>
    </r>
  </si>
  <si>
    <t xml:space="preserve">출처 및 주의사항</t>
  </si>
  <si>
    <r>
      <rPr>
        <b val="true"/>
        <sz val="11"/>
        <color rgb="FF000000"/>
        <rFont val="Noto Sans CJK SC"/>
        <family val="2"/>
      </rPr>
      <t xml:space="preserve">정원</t>
    </r>
    <r>
      <rPr>
        <b val="true"/>
        <sz val="11"/>
        <color rgb="FF000000"/>
        <rFont val="Arial"/>
        <family val="0"/>
        <charset val="1"/>
      </rPr>
      <t xml:space="preserve">·</t>
    </r>
    <r>
      <rPr>
        <b val="true"/>
        <sz val="11"/>
        <color rgb="FF000000"/>
        <rFont val="Noto Sans CJK SC"/>
        <family val="2"/>
      </rPr>
      <t xml:space="preserve">현원</t>
    </r>
    <r>
      <rPr>
        <b val="true"/>
        <sz val="11"/>
        <color rgb="FF000000"/>
        <rFont val="Arial"/>
        <family val="0"/>
        <charset val="1"/>
      </rPr>
      <t xml:space="preserve">(</t>
    </r>
    <r>
      <rPr>
        <b val="true"/>
        <sz val="11"/>
        <color rgb="FF000000"/>
        <rFont val="Noto Sans CJK SC"/>
        <family val="2"/>
      </rPr>
      <t xml:space="preserve">명</t>
    </r>
    <r>
      <rPr>
        <b val="true"/>
        <sz val="11"/>
        <color rgb="FF000000"/>
        <rFont val="Arial"/>
        <family val="0"/>
        <charset val="1"/>
      </rPr>
      <t xml:space="preserve">)</t>
    </r>
  </si>
  <si>
    <r>
      <rPr>
        <sz val="11"/>
        <color rgb="FF000000"/>
        <rFont val="Noto Sans CJK SC"/>
        <family val="2"/>
      </rPr>
      <t xml:space="preserve">어린이집정보공개포털 </t>
    </r>
    <r>
      <rPr>
        <sz val="11"/>
        <color rgb="FF000000"/>
        <rFont val="Arial"/>
        <family val="0"/>
        <charset val="1"/>
      </rPr>
      <t xml:space="preserve">&gt; </t>
    </r>
    <r>
      <rPr>
        <sz val="11"/>
        <color rgb="FF000000"/>
        <rFont val="Noto Sans CJK SC"/>
        <family val="2"/>
      </rPr>
      <t xml:space="preserve">보육정보공개 </t>
    </r>
    <r>
      <rPr>
        <sz val="11"/>
        <color rgb="FF000000"/>
        <rFont val="Arial"/>
        <family val="0"/>
        <charset val="1"/>
      </rPr>
      <t xml:space="preserve">API &gt; OPEN API &gt; FILE "</t>
    </r>
    <r>
      <rPr>
        <sz val="11"/>
        <color rgb="FF000000"/>
        <rFont val="Noto Sans CJK SC"/>
        <family val="2"/>
      </rPr>
      <t xml:space="preserve">전국 어린이집 정현원 현황</t>
    </r>
    <r>
      <rPr>
        <sz val="11"/>
        <color rgb="FF000000"/>
        <rFont val="Arial"/>
        <family val="0"/>
        <charset val="1"/>
      </rPr>
      <t xml:space="preserve">" (</t>
    </r>
    <r>
      <rPr>
        <sz val="11"/>
        <color rgb="FF000000"/>
        <rFont val="Noto Sans CJK SC"/>
        <family val="2"/>
      </rPr>
      <t xml:space="preserve">전국어린이집정현원현황</t>
    </r>
    <r>
      <rPr>
        <sz val="11"/>
        <color rgb="FF000000"/>
        <rFont val="Arial"/>
        <family val="0"/>
        <charset val="1"/>
      </rPr>
      <t xml:space="preserve">_20230102.xlsx, </t>
    </r>
    <r>
      <rPr>
        <sz val="11"/>
        <color rgb="FF000000"/>
        <rFont val="Noto Sans CJK SC"/>
        <family val="2"/>
      </rPr>
      <t xml:space="preserve">출처</t>
    </r>
    <r>
      <rPr>
        <sz val="11"/>
        <color rgb="FF000000"/>
        <rFont val="Arial"/>
        <family val="0"/>
        <charset val="1"/>
      </rPr>
      <t xml:space="preserve">: </t>
    </r>
    <r>
      <rPr>
        <sz val="11"/>
        <color rgb="FF000000"/>
        <rFont val="Noto Sans CJK SC"/>
        <family val="2"/>
      </rPr>
      <t xml:space="preserve">보육통합정보시스템</t>
    </r>
    <r>
      <rPr>
        <sz val="11"/>
        <color rgb="FF000000"/>
        <rFont val="Arial"/>
        <family val="0"/>
        <charset val="1"/>
      </rPr>
      <t xml:space="preserve">, </t>
    </r>
    <r>
      <rPr>
        <sz val="11"/>
        <color rgb="FF000000"/>
        <rFont val="Noto Sans CJK SC"/>
        <family val="2"/>
      </rPr>
      <t xml:space="preserve">단위</t>
    </r>
    <r>
      <rPr>
        <sz val="11"/>
        <color rgb="FF000000"/>
        <rFont val="Arial"/>
        <family val="0"/>
        <charset val="1"/>
      </rPr>
      <t xml:space="preserve">: </t>
    </r>
    <r>
      <rPr>
        <sz val="11"/>
        <color rgb="FF000000"/>
        <rFont val="Noto Sans CJK SC"/>
        <family val="2"/>
      </rPr>
      <t xml:space="preserve">명</t>
    </r>
    <r>
      <rPr>
        <sz val="11"/>
        <color rgb="FF000000"/>
        <rFont val="Arial"/>
        <family val="0"/>
        <charset val="1"/>
      </rPr>
      <t xml:space="preserve">). 2010~2022</t>
    </r>
    <r>
      <rPr>
        <sz val="11"/>
        <color rgb="FF000000"/>
        <rFont val="Noto Sans CJK SC"/>
        <family val="2"/>
      </rPr>
      <t xml:space="preserve">년만 제공</t>
    </r>
    <r>
      <rPr>
        <sz val="11"/>
        <color rgb="FF000000"/>
        <rFont val="Arial"/>
        <family val="0"/>
        <charset val="1"/>
      </rPr>
      <t xml:space="preserve">. 17</t>
    </r>
    <r>
      <rPr>
        <sz val="11"/>
        <color rgb="FF000000"/>
        <rFont val="Noto Sans CJK SC"/>
        <family val="2"/>
      </rPr>
      <t xml:space="preserve">개 시도 합계가 매년 전국</t>
    </r>
    <r>
      <rPr>
        <sz val="11"/>
        <color rgb="FF000000"/>
        <rFont val="Arial"/>
        <family val="0"/>
        <charset val="1"/>
      </rPr>
      <t xml:space="preserve">(</t>
    </r>
    <r>
      <rPr>
        <sz val="11"/>
        <color rgb="FF000000"/>
        <rFont val="Noto Sans CJK SC"/>
        <family val="2"/>
      </rPr>
      <t xml:space="preserve">계</t>
    </r>
    <r>
      <rPr>
        <sz val="11"/>
        <color rgb="FF000000"/>
        <rFont val="Arial"/>
        <family val="0"/>
        <charset val="1"/>
      </rPr>
      <t xml:space="preserve">)</t>
    </r>
    <r>
      <rPr>
        <sz val="11"/>
        <color rgb="FF000000"/>
        <rFont val="Noto Sans CJK SC"/>
        <family val="2"/>
      </rPr>
      <t xml:space="preserve">와 일치함을 확인</t>
    </r>
    <r>
      <rPr>
        <sz val="11"/>
        <color rgb="FF000000"/>
        <rFont val="Arial"/>
        <family val="0"/>
        <charset val="1"/>
      </rPr>
      <t xml:space="preserve">.</t>
    </r>
  </si>
  <si>
    <r>
      <rPr>
        <sz val="11"/>
        <color rgb="FF000000"/>
        <rFont val="Arial"/>
        <family val="0"/>
        <charset val="1"/>
      </rPr>
      <t xml:space="preserve">FILE "</t>
    </r>
    <r>
      <rPr>
        <sz val="11"/>
        <color rgb="FF000000"/>
        <rFont val="Noto Sans CJK SC"/>
        <family val="2"/>
      </rPr>
      <t xml:space="preserve">어린이집 현황</t>
    </r>
    <r>
      <rPr>
        <sz val="11"/>
        <color rgb="FF000000"/>
        <rFont val="Arial"/>
        <family val="0"/>
        <charset val="1"/>
      </rPr>
      <t xml:space="preserve">(</t>
    </r>
    <r>
      <rPr>
        <sz val="11"/>
        <color rgb="FF000000"/>
        <rFont val="Noto Sans CJK SC"/>
        <family val="2"/>
      </rPr>
      <t xml:space="preserve">시</t>
    </r>
    <r>
      <rPr>
        <sz val="11"/>
        <color rgb="FF000000"/>
        <rFont val="Arial"/>
        <family val="0"/>
        <charset val="1"/>
      </rPr>
      <t xml:space="preserve">·</t>
    </r>
    <r>
      <rPr>
        <sz val="11"/>
        <color rgb="FF000000"/>
        <rFont val="Noto Sans CJK SC"/>
        <family val="2"/>
      </rPr>
      <t xml:space="preserve">도</t>
    </r>
    <r>
      <rPr>
        <sz val="11"/>
        <color rgb="FF000000"/>
        <rFont val="Arial"/>
        <family val="0"/>
        <charset val="1"/>
      </rPr>
      <t xml:space="preserve">)"(2009~2022)</t>
    </r>
    <r>
      <rPr>
        <sz val="11"/>
        <color rgb="FF000000"/>
        <rFont val="Noto Sans CJK SC"/>
        <family val="2"/>
      </rPr>
      <t xml:space="preserve">와 포털 통계 </t>
    </r>
    <r>
      <rPr>
        <sz val="11"/>
        <color rgb="FF000000"/>
        <rFont val="Arial"/>
        <family val="0"/>
        <charset val="1"/>
      </rPr>
      <t xml:space="preserve">SHEET </t>
    </r>
    <r>
      <rPr>
        <sz val="11"/>
        <color rgb="FF000000"/>
        <rFont val="Noto Sans CJK SC"/>
        <family val="2"/>
      </rPr>
      <t xml:space="preserve">파일</t>
    </r>
    <r>
      <rPr>
        <sz val="11"/>
        <color rgb="FF000000"/>
        <rFont val="Arial"/>
        <family val="0"/>
        <charset val="1"/>
      </rPr>
      <t xml:space="preserve">(2023~2026)</t>
    </r>
    <r>
      <rPr>
        <sz val="11"/>
        <color rgb="FF000000"/>
        <rFont val="Noto Sans CJK SC"/>
        <family val="2"/>
      </rPr>
      <t xml:space="preserve">을 합친 값</t>
    </r>
    <r>
      <rPr>
        <sz val="11"/>
        <color rgb="FF000000"/>
        <rFont val="Arial"/>
        <family val="0"/>
        <charset val="1"/>
      </rPr>
      <t xml:space="preserve">. </t>
    </r>
    <r>
      <rPr>
        <sz val="11"/>
        <color rgb="FF000000"/>
        <rFont val="Noto Sans CJK SC"/>
        <family val="2"/>
      </rPr>
      <t xml:space="preserve">이전에 만든 </t>
    </r>
    <r>
      <rPr>
        <sz val="11"/>
        <color rgb="FF000000"/>
        <rFont val="Arial"/>
        <family val="0"/>
        <charset val="1"/>
      </rPr>
      <t xml:space="preserve">"</t>
    </r>
    <r>
      <rPr>
        <sz val="11"/>
        <color rgb="FF000000"/>
        <rFont val="Noto Sans CJK SC"/>
        <family val="2"/>
      </rPr>
      <t xml:space="preserve">시도별</t>
    </r>
    <r>
      <rPr>
        <sz val="11"/>
        <color rgb="FF000000"/>
        <rFont val="Arial"/>
        <family val="0"/>
        <charset val="1"/>
      </rPr>
      <t xml:space="preserve">_</t>
    </r>
    <r>
      <rPr>
        <sz val="11"/>
        <color rgb="FF000000"/>
        <rFont val="Noto Sans CJK SC"/>
        <family val="2"/>
      </rPr>
      <t xml:space="preserve">어린이집수</t>
    </r>
    <r>
      <rPr>
        <sz val="11"/>
        <color rgb="FF000000"/>
        <rFont val="Arial"/>
        <family val="0"/>
        <charset val="1"/>
      </rPr>
      <t xml:space="preserve">_2009-2026.xlsx"</t>
    </r>
    <r>
      <rPr>
        <sz val="11"/>
        <color rgb="FF000000"/>
        <rFont val="Noto Sans CJK SC"/>
        <family val="2"/>
      </rPr>
      <t xml:space="preserve">와 동일</t>
    </r>
    <r>
      <rPr>
        <sz val="11"/>
        <color rgb="FF000000"/>
        <rFont val="Arial"/>
        <family val="0"/>
        <charset val="1"/>
      </rPr>
      <t xml:space="preserve">.</t>
    </r>
  </si>
  <si>
    <t xml:space="preserve">원본 오류 정정</t>
  </si>
  <si>
    <r>
      <rPr>
        <sz val="11"/>
        <color rgb="FF000000"/>
        <rFont val="Noto Sans CJK SC"/>
        <family val="2"/>
      </rPr>
      <t xml:space="preserve">경기 </t>
    </r>
    <r>
      <rPr>
        <sz val="11"/>
        <color rgb="FF000000"/>
        <rFont val="Arial"/>
        <family val="0"/>
        <charset val="1"/>
      </rPr>
      <t xml:space="preserve">2018</t>
    </r>
    <r>
      <rPr>
        <sz val="11"/>
        <color rgb="FF000000"/>
        <rFont val="Noto Sans CJK SC"/>
        <family val="2"/>
      </rPr>
      <t xml:space="preserve">년 정원이 원본 파일에 </t>
    </r>
    <r>
      <rPr>
        <sz val="11"/>
        <color rgb="FF000000"/>
        <rFont val="Arial"/>
        <family val="0"/>
        <charset val="1"/>
      </rPr>
      <t xml:space="preserve">497,296</t>
    </r>
    <r>
      <rPr>
        <sz val="11"/>
        <color rgb="FF000000"/>
        <rFont val="Noto Sans CJK SC"/>
        <family val="2"/>
      </rPr>
      <t xml:space="preserve">으로 입력되어 있는데</t>
    </r>
    <r>
      <rPr>
        <sz val="11"/>
        <color rgb="FF000000"/>
        <rFont val="Arial"/>
        <family val="0"/>
        <charset val="1"/>
      </rPr>
      <t xml:space="preserve">, </t>
    </r>
    <r>
      <rPr>
        <sz val="11"/>
        <color rgb="FF000000"/>
        <rFont val="Noto Sans CJK SC"/>
        <family val="2"/>
      </rPr>
      <t xml:space="preserve">이 값을 쓰면 </t>
    </r>
    <r>
      <rPr>
        <sz val="11"/>
        <color rgb="FF000000"/>
        <rFont val="Arial"/>
        <family val="0"/>
        <charset val="1"/>
      </rPr>
      <t xml:space="preserve">17</t>
    </r>
    <r>
      <rPr>
        <sz val="11"/>
        <color rgb="FF000000"/>
        <rFont val="Noto Sans CJK SC"/>
        <family val="2"/>
      </rPr>
      <t xml:space="preserve">개 시도 합계가 전국</t>
    </r>
    <r>
      <rPr>
        <sz val="11"/>
        <color rgb="FF000000"/>
        <rFont val="Arial"/>
        <family val="0"/>
        <charset val="1"/>
      </rPr>
      <t xml:space="preserve">(</t>
    </r>
    <r>
      <rPr>
        <sz val="11"/>
        <color rgb="FF000000"/>
        <rFont val="Noto Sans CJK SC"/>
        <family val="2"/>
      </rPr>
      <t xml:space="preserve">계</t>
    </r>
    <r>
      <rPr>
        <sz val="11"/>
        <color rgb="FF000000"/>
        <rFont val="Arial"/>
        <family val="0"/>
        <charset val="1"/>
      </rPr>
      <t xml:space="preserve">)</t>
    </r>
    <r>
      <rPr>
        <sz val="11"/>
        <color rgb="FF000000"/>
        <rFont val="Noto Sans CJK SC"/>
        <family val="2"/>
      </rPr>
      <t xml:space="preserve">보다 정확히 </t>
    </r>
    <r>
      <rPr>
        <sz val="11"/>
        <color rgb="FF000000"/>
        <rFont val="Arial"/>
        <family val="0"/>
        <charset val="1"/>
      </rPr>
      <t xml:space="preserve">30,000 </t>
    </r>
    <r>
      <rPr>
        <sz val="11"/>
        <color rgb="FF000000"/>
        <rFont val="Noto Sans CJK SC"/>
        <family val="2"/>
      </rPr>
      <t xml:space="preserve">큽니다</t>
    </r>
    <r>
      <rPr>
        <sz val="11"/>
        <color rgb="FF000000"/>
        <rFont val="Arial"/>
        <family val="0"/>
        <charset val="1"/>
      </rPr>
      <t xml:space="preserve">. </t>
    </r>
    <r>
      <rPr>
        <sz val="11"/>
        <color rgb="FF000000"/>
        <rFont val="Noto Sans CJK SC"/>
        <family val="2"/>
      </rPr>
      <t xml:space="preserve">앞뒤 연도</t>
    </r>
    <r>
      <rPr>
        <sz val="11"/>
        <color rgb="FF000000"/>
        <rFont val="Arial"/>
        <family val="0"/>
        <charset val="1"/>
      </rPr>
      <t xml:space="preserve">(2017 466,020 / 2019 464,409)</t>
    </r>
    <r>
      <rPr>
        <sz val="11"/>
        <color rgb="FF000000"/>
        <rFont val="Noto Sans CJK SC"/>
        <family val="2"/>
      </rPr>
      <t xml:space="preserve">와도 맞지 않아 오타로 보고 </t>
    </r>
    <r>
      <rPr>
        <sz val="11"/>
        <color rgb="FF000000"/>
        <rFont val="Arial"/>
        <family val="0"/>
        <charset val="1"/>
      </rPr>
      <t xml:space="preserve">467,296</t>
    </r>
    <r>
      <rPr>
        <sz val="11"/>
        <color rgb="FF000000"/>
        <rFont val="Noto Sans CJK SC"/>
        <family val="2"/>
      </rPr>
      <t xml:space="preserve">으로 정정했습니다</t>
    </r>
    <r>
      <rPr>
        <sz val="11"/>
        <color rgb="FF000000"/>
        <rFont val="Arial"/>
        <family val="0"/>
        <charset val="1"/>
      </rPr>
      <t xml:space="preserve">(</t>
    </r>
    <r>
      <rPr>
        <sz val="11"/>
        <color rgb="FF000000"/>
        <rFont val="Noto Sans CJK SC"/>
        <family val="2"/>
      </rPr>
      <t xml:space="preserve">원자료 시트 주황색 칸</t>
    </r>
    <r>
      <rPr>
        <sz val="11"/>
        <color rgb="FF000000"/>
        <rFont val="Arial"/>
        <family val="0"/>
        <charset val="1"/>
      </rPr>
      <t xml:space="preserve">, </t>
    </r>
    <r>
      <rPr>
        <sz val="11"/>
        <color rgb="FF000000"/>
        <rFont val="Noto Sans CJK SC"/>
        <family val="2"/>
      </rPr>
      <t xml:space="preserve">메모 표시</t>
    </r>
    <r>
      <rPr>
        <sz val="11"/>
        <color rgb="FF000000"/>
        <rFont val="Arial"/>
        <family val="0"/>
        <charset val="1"/>
      </rPr>
      <t xml:space="preserve">). </t>
    </r>
    <r>
      <rPr>
        <sz val="11"/>
        <color rgb="FF000000"/>
        <rFont val="Noto Sans CJK SC"/>
        <family val="2"/>
      </rPr>
      <t xml:space="preserve">원본을 그대로 쓰려면 이 칸을 </t>
    </r>
    <r>
      <rPr>
        <sz val="11"/>
        <color rgb="FF000000"/>
        <rFont val="Arial"/>
        <family val="0"/>
        <charset val="1"/>
      </rPr>
      <t xml:space="preserve">497,296</t>
    </r>
    <r>
      <rPr>
        <sz val="11"/>
        <color rgb="FF000000"/>
        <rFont val="Noto Sans CJK SC"/>
        <family val="2"/>
      </rPr>
      <t xml:space="preserve">으로 바꾸면 됩니다</t>
    </r>
    <r>
      <rPr>
        <sz val="11"/>
        <color rgb="FF000000"/>
        <rFont val="Arial"/>
        <family val="0"/>
        <charset val="1"/>
      </rPr>
      <t xml:space="preserve">.</t>
    </r>
  </si>
  <si>
    <t xml:space="preserve">2026</t>
  </si>
  <si>
    <r>
      <rPr>
        <sz val="11"/>
        <color rgb="FF000000"/>
        <rFont val="Noto Sans CJK SC"/>
        <family val="2"/>
      </rPr>
      <t xml:space="preserve">포털 조회 시점 최신값</t>
    </r>
    <r>
      <rPr>
        <sz val="11"/>
        <color rgb="FF000000"/>
        <rFont val="Arial"/>
        <family val="0"/>
        <charset val="1"/>
      </rPr>
      <t xml:space="preserve">(</t>
    </r>
    <r>
      <rPr>
        <sz val="11"/>
        <color rgb="FF000000"/>
        <rFont val="Noto Sans CJK SC"/>
        <family val="2"/>
      </rPr>
      <t xml:space="preserve">기준월 미확인</t>
    </r>
    <r>
      <rPr>
        <sz val="11"/>
        <color rgb="FF000000"/>
        <rFont val="Arial"/>
        <family val="0"/>
        <charset val="1"/>
      </rPr>
      <t xml:space="preserve">). </t>
    </r>
    <r>
      <rPr>
        <sz val="11"/>
        <color rgb="FF000000"/>
        <rFont val="Noto Sans CJK SC"/>
        <family val="2"/>
      </rPr>
      <t xml:space="preserve">연도 비교에는 </t>
    </r>
    <r>
      <rPr>
        <sz val="11"/>
        <color rgb="FF000000"/>
        <rFont val="Arial"/>
        <family val="0"/>
        <charset val="1"/>
      </rPr>
      <t xml:space="preserve">2025</t>
    </r>
    <r>
      <rPr>
        <sz val="11"/>
        <color rgb="FF000000"/>
        <rFont val="Noto Sans CJK SC"/>
        <family val="2"/>
      </rPr>
      <t xml:space="preserve">년까지를 권장</t>
    </r>
    <r>
      <rPr>
        <sz val="11"/>
        <color rgb="FF000000"/>
        <rFont val="Arial"/>
        <family val="0"/>
        <charset val="1"/>
      </rPr>
      <t xml:space="preserve">.</t>
    </r>
  </si>
  <si>
    <r>
      <rPr>
        <b val="true"/>
        <sz val="11"/>
        <color rgb="FF000000"/>
        <rFont val="Noto Sans CJK SC"/>
        <family val="2"/>
      </rPr>
      <t xml:space="preserve">광주</t>
    </r>
    <r>
      <rPr>
        <b val="true"/>
        <sz val="11"/>
        <color rgb="FF000000"/>
        <rFont val="Arial"/>
        <family val="0"/>
        <charset val="1"/>
      </rPr>
      <t xml:space="preserve">·</t>
    </r>
    <r>
      <rPr>
        <b val="true"/>
        <sz val="11"/>
        <color rgb="FF000000"/>
        <rFont val="Noto Sans CJK SC"/>
        <family val="2"/>
      </rPr>
      <t xml:space="preserve">전남</t>
    </r>
  </si>
  <si>
    <r>
      <rPr>
        <sz val="11"/>
        <color rgb="FF000000"/>
        <rFont val="Noto Sans CJK SC"/>
        <family val="2"/>
      </rPr>
      <t xml:space="preserve">원자료는 분리되어 있고 </t>
    </r>
    <r>
      <rPr>
        <sz val="11"/>
        <color rgb="FF000000"/>
        <rFont val="Arial"/>
        <family val="0"/>
        <charset val="1"/>
      </rPr>
      <t xml:space="preserve">2023</t>
    </r>
    <r>
      <rPr>
        <sz val="11"/>
        <color rgb="FF000000"/>
        <rFont val="Noto Sans CJK SC"/>
        <family val="2"/>
      </rPr>
      <t xml:space="preserve">년부터 어린이집 수는 합쳐서만 제공됨</t>
    </r>
    <r>
      <rPr>
        <sz val="11"/>
        <color rgb="FF000000"/>
        <rFont val="Arial"/>
        <family val="0"/>
        <charset val="1"/>
      </rPr>
      <t xml:space="preserve">. </t>
    </r>
    <r>
      <rPr>
        <sz val="11"/>
        <color rgb="FF000000"/>
        <rFont val="Noto Sans CJK SC"/>
        <family val="2"/>
      </rPr>
      <t xml:space="preserve">모든 시트는 </t>
    </r>
    <r>
      <rPr>
        <sz val="11"/>
        <color rgb="FF000000"/>
        <rFont val="Arial"/>
        <family val="0"/>
        <charset val="1"/>
      </rPr>
      <t xml:space="preserve">"</t>
    </r>
    <r>
      <rPr>
        <sz val="11"/>
        <color rgb="FF000000"/>
        <rFont val="Noto Sans CJK SC"/>
        <family val="2"/>
      </rPr>
      <t xml:space="preserve">전남광주</t>
    </r>
    <r>
      <rPr>
        <sz val="11"/>
        <color rgb="FF000000"/>
        <rFont val="Arial"/>
        <family val="0"/>
        <charset val="1"/>
      </rPr>
      <t xml:space="preserve">(</t>
    </r>
    <r>
      <rPr>
        <sz val="11"/>
        <color rgb="FF000000"/>
        <rFont val="Noto Sans CJK SC"/>
        <family val="2"/>
      </rPr>
      <t xml:space="preserve">광주</t>
    </r>
    <r>
      <rPr>
        <sz val="11"/>
        <color rgb="FF000000"/>
        <rFont val="Arial"/>
        <family val="0"/>
        <charset val="1"/>
      </rPr>
      <t xml:space="preserve">+</t>
    </r>
    <r>
      <rPr>
        <sz val="11"/>
        <color rgb="FF000000"/>
        <rFont val="Noto Sans CJK SC"/>
        <family val="2"/>
      </rPr>
      <t xml:space="preserve">전남</t>
    </r>
    <r>
      <rPr>
        <sz val="11"/>
        <color rgb="FF000000"/>
        <rFont val="Arial"/>
        <family val="0"/>
        <charset val="1"/>
      </rPr>
      <t xml:space="preserve">)" </t>
    </r>
    <r>
      <rPr>
        <sz val="11"/>
        <color rgb="FF000000"/>
        <rFont val="Noto Sans CJK SC"/>
        <family val="2"/>
      </rPr>
      <t xml:space="preserve">합계 행으로 통일</t>
    </r>
    <r>
      <rPr>
        <sz val="11"/>
        <color rgb="FF000000"/>
        <rFont val="Arial"/>
        <family val="0"/>
        <charset val="1"/>
      </rPr>
      <t xml:space="preserve">.</t>
    </r>
  </si>
  <si>
    <t xml:space="preserve">충족률</t>
  </si>
  <si>
    <r>
      <rPr>
        <sz val="11"/>
        <color rgb="FF000000"/>
        <rFont val="Noto Sans CJK SC"/>
        <family val="2"/>
      </rPr>
      <t xml:space="preserve">현원</t>
    </r>
    <r>
      <rPr>
        <sz val="11"/>
        <color rgb="FF000000"/>
        <rFont val="Arial"/>
        <family val="0"/>
        <charset val="1"/>
      </rPr>
      <t xml:space="preserve">÷</t>
    </r>
    <r>
      <rPr>
        <sz val="11"/>
        <color rgb="FF000000"/>
        <rFont val="Noto Sans CJK SC"/>
        <family val="2"/>
      </rPr>
      <t xml:space="preserve">정원</t>
    </r>
    <r>
      <rPr>
        <sz val="11"/>
        <color rgb="FF000000"/>
        <rFont val="Arial"/>
        <family val="0"/>
        <charset val="1"/>
      </rPr>
      <t xml:space="preserve">. </t>
    </r>
    <r>
      <rPr>
        <sz val="11"/>
        <color rgb="FF000000"/>
        <rFont val="Noto Sans CJK SC"/>
        <family val="2"/>
      </rPr>
      <t xml:space="preserve">각 시설이 정원을 다 채우는 것이 아니라 시도 합계의 비율이며</t>
    </r>
    <r>
      <rPr>
        <sz val="11"/>
        <color rgb="FF000000"/>
        <rFont val="Arial"/>
        <family val="0"/>
        <charset val="1"/>
      </rPr>
      <t xml:space="preserve">, </t>
    </r>
    <r>
      <rPr>
        <sz val="11"/>
        <color rgb="FF000000"/>
        <rFont val="Noto Sans CJK SC"/>
        <family val="2"/>
      </rPr>
      <t xml:space="preserve">시설별 빈자리 분포는 알 수 없음</t>
    </r>
    <r>
      <rPr>
        <sz val="11"/>
        <color rgb="FF000000"/>
        <rFont val="Arial"/>
        <family val="0"/>
        <charset val="1"/>
      </rPr>
      <t xml:space="preserve">.</t>
    </r>
  </si>
  <si>
    <t xml:space="preserve">한계</t>
  </si>
  <si>
    <r>
      <rPr>
        <sz val="11"/>
        <color rgb="FF000000"/>
        <rFont val="Arial"/>
        <family val="0"/>
        <charset val="1"/>
      </rPr>
      <t xml:space="preserve">2023</t>
    </r>
    <r>
      <rPr>
        <sz val="11"/>
        <color rgb="FF000000"/>
        <rFont val="Noto Sans CJK SC"/>
        <family val="2"/>
      </rPr>
      <t xml:space="preserve">년 이후 정원</t>
    </r>
    <r>
      <rPr>
        <sz val="11"/>
        <color rgb="FF000000"/>
        <rFont val="Arial"/>
        <family val="0"/>
        <charset val="1"/>
      </rPr>
      <t xml:space="preserve">·</t>
    </r>
    <r>
      <rPr>
        <sz val="11"/>
        <color rgb="FF000000"/>
        <rFont val="Noto Sans CJK SC"/>
        <family val="2"/>
      </rPr>
      <t xml:space="preserve">현원</t>
    </r>
    <r>
      <rPr>
        <sz val="11"/>
        <color rgb="FF000000"/>
        <rFont val="Arial"/>
        <family val="0"/>
        <charset val="1"/>
      </rPr>
      <t xml:space="preserve">(</t>
    </r>
    <r>
      <rPr>
        <sz val="11"/>
        <color rgb="FF000000"/>
        <rFont val="Noto Sans CJK SC"/>
        <family val="2"/>
      </rPr>
      <t xml:space="preserve">명</t>
    </r>
    <r>
      <rPr>
        <sz val="11"/>
        <color rgb="FF000000"/>
        <rFont val="Arial"/>
        <family val="0"/>
        <charset val="1"/>
      </rPr>
      <t xml:space="preserve">)</t>
    </r>
    <r>
      <rPr>
        <sz val="11"/>
        <color rgb="FF000000"/>
        <rFont val="Noto Sans CJK SC"/>
        <family val="2"/>
      </rPr>
      <t xml:space="preserve">은 이 파일에 없음</t>
    </r>
    <r>
      <rPr>
        <sz val="11"/>
        <color rgb="FF000000"/>
        <rFont val="Arial"/>
        <family val="0"/>
        <charset val="1"/>
      </rPr>
      <t xml:space="preserve">. </t>
    </r>
    <r>
      <rPr>
        <sz val="11"/>
        <color rgb="FF000000"/>
        <rFont val="Noto Sans CJK SC"/>
        <family val="2"/>
      </rPr>
      <t xml:space="preserve">시도별 현원은 포털 </t>
    </r>
    <r>
      <rPr>
        <sz val="11"/>
        <color rgb="FF000000"/>
        <rFont val="Arial"/>
        <family val="0"/>
        <charset val="1"/>
      </rPr>
      <t xml:space="preserve">"</t>
    </r>
    <r>
      <rPr>
        <sz val="11"/>
        <color rgb="FF000000"/>
        <rFont val="Noto Sans CJK SC"/>
        <family val="2"/>
      </rPr>
      <t xml:space="preserve">연령별 아동 현황</t>
    </r>
    <r>
      <rPr>
        <sz val="11"/>
        <color rgb="FF000000"/>
        <rFont val="Arial"/>
        <family val="0"/>
        <charset val="1"/>
      </rPr>
      <t xml:space="preserve">"(SHEET)</t>
    </r>
    <r>
      <rPr>
        <sz val="11"/>
        <color rgb="FF000000"/>
        <rFont val="Noto Sans CJK SC"/>
        <family val="2"/>
      </rPr>
      <t xml:space="preserve">에서</t>
    </r>
    <r>
      <rPr>
        <sz val="11"/>
        <color rgb="FF000000"/>
        <rFont val="Arial"/>
        <family val="0"/>
        <charset val="1"/>
      </rPr>
      <t xml:space="preserve">, </t>
    </r>
    <r>
      <rPr>
        <sz val="11"/>
        <color rgb="FF000000"/>
        <rFont val="Noto Sans CJK SC"/>
        <family val="2"/>
      </rPr>
      <t xml:space="preserve">시설별 정원</t>
    </r>
    <r>
      <rPr>
        <sz val="11"/>
        <color rgb="FF000000"/>
        <rFont val="Arial"/>
        <family val="0"/>
        <charset val="1"/>
      </rPr>
      <t xml:space="preserve">·</t>
    </r>
    <r>
      <rPr>
        <sz val="11"/>
        <color rgb="FF000000"/>
        <rFont val="Noto Sans CJK SC"/>
        <family val="2"/>
      </rPr>
      <t xml:space="preserve">현원은 </t>
    </r>
    <r>
      <rPr>
        <sz val="11"/>
        <color rgb="FF000000"/>
        <rFont val="Arial"/>
        <family val="0"/>
        <charset val="1"/>
      </rPr>
      <t xml:space="preserve">"</t>
    </r>
    <r>
      <rPr>
        <sz val="11"/>
        <color rgb="FF000000"/>
        <rFont val="Noto Sans CJK SC"/>
        <family val="2"/>
      </rPr>
      <t xml:space="preserve">어린이집 기본정보</t>
    </r>
    <r>
      <rPr>
        <sz val="11"/>
        <color rgb="FF000000"/>
        <rFont val="Arial"/>
        <family val="0"/>
        <charset val="1"/>
      </rPr>
      <t xml:space="preserve">"</t>
    </r>
    <r>
      <rPr>
        <sz val="11"/>
        <color rgb="FF000000"/>
        <rFont val="Noto Sans CJK SC"/>
        <family val="2"/>
      </rPr>
      <t xml:space="preserve">에서 구할 수 있을 것으로 보이나 아직 확인하지 않음</t>
    </r>
    <r>
      <rPr>
        <sz val="11"/>
        <color rgb="FF000000"/>
        <rFont val="Arial"/>
        <family val="0"/>
        <charset val="1"/>
      </rPr>
      <t xml:space="preserve">. </t>
    </r>
    <r>
      <rPr>
        <sz val="11"/>
        <color rgb="FF000000"/>
        <rFont val="Noto Sans CJK SC"/>
        <family val="2"/>
      </rPr>
      <t xml:space="preserve">시군구 단위 아님</t>
    </r>
    <r>
      <rPr>
        <sz val="11"/>
        <color rgb="FF000000"/>
        <rFont val="Arial"/>
        <family val="0"/>
        <charset val="1"/>
      </rPr>
      <t xml:space="preserve">.</t>
    </r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</si>
</sst>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,##0;\-#,##0;\-"/>
    <numFmt numFmtId="166" formatCode="0;\-0;&quot;OK&quot;"/>
    <numFmt numFmtId="167" formatCode="0.0%"/>
    <numFmt numFmtId="168" formatCode="0.0"/>
  </numFmts>
  <fonts count="2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000000"/>
      <name val="Noto Sans CJK SC"/>
      <family val="2"/>
    </font>
    <font>
      <b val="true"/>
      <sz val="14"/>
      <color rgb="FF000000"/>
      <name val="Arial"/>
      <family val="0"/>
      <charset val="1"/>
    </font>
    <font>
      <i val="true"/>
      <sz val="9"/>
      <color rgb="FF000000"/>
      <name val="Arial"/>
      <family val="0"/>
      <charset val="1"/>
    </font>
    <font>
      <i val="true"/>
      <sz val="9"/>
      <color rgb="FF000000"/>
      <name val="Noto Sans CJK SC"/>
      <family val="2"/>
    </font>
    <font>
      <b val="true"/>
      <sz val="11"/>
      <color rgb="FFFFFFFF"/>
      <name val="Noto Sans CJK SC"/>
      <family val="2"/>
    </font>
    <font>
      <b val="true"/>
      <sz val="11"/>
      <color rgb="FF000000"/>
      <name val="Noto Sans CJK SC"/>
      <family val="2"/>
    </font>
    <font>
      <sz val="11"/>
      <color rgb="FF008000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sz val="11"/>
      <color rgb="FF000000"/>
      <name val="Noto Sans CJK SC"/>
      <family val="2"/>
    </font>
    <font>
      <sz val="11"/>
      <color rgb="FF000000"/>
      <name val="Arial"/>
      <family val="0"/>
      <charset val="1"/>
    </font>
    <font>
      <i val="true"/>
      <sz val="11"/>
      <color rgb="FF000000"/>
      <name val="Noto Sans CJK SC"/>
      <family val="2"/>
    </font>
    <font>
      <i val="true"/>
      <sz val="11"/>
      <color rgb="FF000000"/>
      <name val="Arial"/>
      <family val="0"/>
      <charset val="1"/>
    </font>
    <font>
      <b val="true"/>
      <sz val="13"/>
      <color rgb="FF000000"/>
      <name val="Noto Sans CJK SC"/>
      <family val="2"/>
    </font>
    <font>
      <b val="true"/>
      <sz val="13"/>
      <color rgb="FF000000"/>
      <name val="Arial"/>
      <family val="0"/>
      <charset val="1"/>
    </font>
    <font>
      <sz val="11"/>
      <color rgb="FF0000FF"/>
      <name val="Arial"/>
      <family val="0"/>
      <charset val="1"/>
    </font>
    <font>
      <b val="true"/>
      <sz val="11"/>
      <color rgb="FF0000FF"/>
      <name val="Arial"/>
      <family val="0"/>
      <charset val="1"/>
    </font>
    <font>
      <sz val="10"/>
      <name val="Noto Sans CJK SC"/>
      <family val="2"/>
    </font>
    <font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9E1F2"/>
        <bgColor rgb="FFF2F2F2"/>
      </patternFill>
    </fill>
    <fill>
      <patternFill patternType="solid">
        <fgColor rgb="FFF2F2F2"/>
        <bgColor rgb="FFFFFFFF"/>
      </patternFill>
    </fill>
    <fill>
      <patternFill patternType="solid">
        <fgColor rgb="FFFFC000"/>
        <bgColor rgb="FFFF99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1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5" fillId="4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1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1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8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0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6.xml.rels><?xml version="1.0" encoding="UTF-8"?>
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2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19" min="2" style="0" width="9.51"/>
  </cols>
  <sheetData>
    <row r="1" customFormat="false" ht="21.6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 t="n">
        <v>2009</v>
      </c>
      <c r="C4" s="3" t="n">
        <v>2010</v>
      </c>
      <c r="D4" s="3" t="n">
        <v>2011</v>
      </c>
      <c r="E4" s="3" t="n">
        <v>2012</v>
      </c>
      <c r="F4" s="3" t="n">
        <v>2013</v>
      </c>
      <c r="G4" s="3" t="n">
        <v>2014</v>
      </c>
      <c r="H4" s="3" t="n">
        <v>2015</v>
      </c>
      <c r="I4" s="3" t="n">
        <v>2016</v>
      </c>
      <c r="J4" s="3" t="n">
        <v>2017</v>
      </c>
      <c r="K4" s="3" t="n">
        <v>2018</v>
      </c>
      <c r="L4" s="3" t="n">
        <v>2019</v>
      </c>
      <c r="M4" s="3" t="n">
        <v>2020</v>
      </c>
      <c r="N4" s="3" t="n">
        <v>2021</v>
      </c>
      <c r="O4" s="3" t="n">
        <v>2022</v>
      </c>
      <c r="P4" s="3" t="n">
        <v>2023</v>
      </c>
      <c r="Q4" s="3" t="n">
        <v>2024</v>
      </c>
      <c r="R4" s="3" t="n">
        <v>2025</v>
      </c>
      <c r="S4" s="3" t="n">
        <v>2026</v>
      </c>
    </row>
    <row r="5" customFormat="false" ht="15" hidden="false" customHeight="false" outlineLevel="0" collapsed="false">
      <c r="A5" s="4" t="s">
        <v>3</v>
      </c>
      <c r="B5" s="5" t="n">
        <f aca="false">원자료!B5</f>
        <v>5684</v>
      </c>
      <c r="C5" s="5" t="n">
        <f aca="false">원자료!C5</f>
        <v>5870</v>
      </c>
      <c r="D5" s="5" t="n">
        <f aca="false">원자료!D5</f>
        <v>6105</v>
      </c>
      <c r="E5" s="5" t="n">
        <f aca="false">원자료!E5</f>
        <v>6538</v>
      </c>
      <c r="F5" s="5" t="n">
        <f aca="false">원자료!F5</f>
        <v>6742</v>
      </c>
      <c r="G5" s="5" t="n">
        <f aca="false">원자료!G5</f>
        <v>6787</v>
      </c>
      <c r="H5" s="5" t="n">
        <f aca="false">원자료!H5</f>
        <v>6598</v>
      </c>
      <c r="I5" s="5" t="n">
        <f aca="false">원자료!I5</f>
        <v>6368</v>
      </c>
      <c r="J5" s="5" t="n">
        <f aca="false">원자료!J5</f>
        <v>6226</v>
      </c>
      <c r="K5" s="5" t="n">
        <f aca="false">원자료!K5</f>
        <v>6008</v>
      </c>
      <c r="L5" s="5" t="n">
        <f aca="false">원자료!L5</f>
        <v>5698</v>
      </c>
      <c r="M5" s="5" t="n">
        <f aca="false">원자료!M5</f>
        <v>5370</v>
      </c>
      <c r="N5" s="5" t="n">
        <f aca="false">원자료!N5</f>
        <v>5049</v>
      </c>
      <c r="O5" s="5" t="n">
        <f aca="false">원자료!O5</f>
        <v>4712</v>
      </c>
      <c r="P5" s="5" t="n">
        <f aca="false">원자료!P5</f>
        <v>4431</v>
      </c>
      <c r="Q5" s="5" t="n">
        <f aca="false">원자료!Q5</f>
        <v>4212</v>
      </c>
      <c r="R5" s="5" t="n">
        <f aca="false">원자료!R5</f>
        <v>4010</v>
      </c>
      <c r="S5" s="5" t="n">
        <f aca="false">원자료!S5</f>
        <v>3875</v>
      </c>
    </row>
    <row r="6" customFormat="false" ht="15" hidden="false" customHeight="false" outlineLevel="0" collapsed="false">
      <c r="A6" s="4" t="s">
        <v>4</v>
      </c>
      <c r="B6" s="5" t="n">
        <f aca="false">원자료!B6</f>
        <v>1655</v>
      </c>
      <c r="C6" s="5" t="n">
        <f aca="false">원자료!C6</f>
        <v>1689</v>
      </c>
      <c r="D6" s="5" t="n">
        <f aca="false">원자료!D6</f>
        <v>1740</v>
      </c>
      <c r="E6" s="5" t="n">
        <f aca="false">원자료!E6</f>
        <v>1830</v>
      </c>
      <c r="F6" s="5" t="n">
        <f aca="false">원자료!F6</f>
        <v>1897</v>
      </c>
      <c r="G6" s="5" t="n">
        <f aca="false">원자료!G6</f>
        <v>1957</v>
      </c>
      <c r="H6" s="5" t="n">
        <f aca="false">원자료!H6</f>
        <v>1971</v>
      </c>
      <c r="I6" s="5" t="n">
        <f aca="false">원자료!I6</f>
        <v>1937</v>
      </c>
      <c r="J6" s="5" t="n">
        <f aca="false">원자료!J6</f>
        <v>1920</v>
      </c>
      <c r="K6" s="5" t="n">
        <f aca="false">원자료!K6</f>
        <v>1891</v>
      </c>
      <c r="L6" s="5" t="n">
        <f aca="false">원자료!L6</f>
        <v>1848</v>
      </c>
      <c r="M6" s="5" t="n">
        <f aca="false">원자료!M6</f>
        <v>1778</v>
      </c>
      <c r="N6" s="5" t="n">
        <f aca="false">원자료!N6</f>
        <v>1668</v>
      </c>
      <c r="O6" s="5" t="n">
        <f aca="false">원자료!O6</f>
        <v>1547</v>
      </c>
      <c r="P6" s="5" t="n">
        <f aca="false">원자료!P6</f>
        <v>1447</v>
      </c>
      <c r="Q6" s="5" t="n">
        <f aca="false">원자료!Q6</f>
        <v>1354</v>
      </c>
      <c r="R6" s="5" t="n">
        <f aca="false">원자료!R6</f>
        <v>1278</v>
      </c>
      <c r="S6" s="5" t="n">
        <f aca="false">원자료!S6</f>
        <v>1216</v>
      </c>
    </row>
    <row r="7" customFormat="false" ht="15" hidden="false" customHeight="false" outlineLevel="0" collapsed="false">
      <c r="A7" s="4" t="s">
        <v>5</v>
      </c>
      <c r="B7" s="5" t="n">
        <f aca="false">원자료!B7</f>
        <v>1500</v>
      </c>
      <c r="C7" s="5" t="n">
        <f aca="false">원자료!C7</f>
        <v>1544</v>
      </c>
      <c r="D7" s="5" t="n">
        <f aca="false">원자료!D7</f>
        <v>1561</v>
      </c>
      <c r="E7" s="5" t="n">
        <f aca="false">원자료!E7</f>
        <v>1580</v>
      </c>
      <c r="F7" s="5" t="n">
        <f aca="false">원자료!F7</f>
        <v>1590</v>
      </c>
      <c r="G7" s="5" t="n">
        <f aca="false">원자료!G7</f>
        <v>1588</v>
      </c>
      <c r="H7" s="5" t="n">
        <f aca="false">원자료!H7</f>
        <v>1539</v>
      </c>
      <c r="I7" s="5" t="n">
        <f aca="false">원자료!I7</f>
        <v>1483</v>
      </c>
      <c r="J7" s="5" t="n">
        <f aca="false">원자료!J7</f>
        <v>1464</v>
      </c>
      <c r="K7" s="5" t="n">
        <f aca="false">원자료!K7</f>
        <v>1405</v>
      </c>
      <c r="L7" s="5" t="n">
        <f aca="false">원자료!L7</f>
        <v>1322</v>
      </c>
      <c r="M7" s="5" t="n">
        <f aca="false">원자료!M7</f>
        <v>1268</v>
      </c>
      <c r="N7" s="5" t="n">
        <f aca="false">원자료!N7</f>
        <v>1187</v>
      </c>
      <c r="O7" s="5" t="n">
        <f aca="false">원자료!O7</f>
        <v>1139</v>
      </c>
      <c r="P7" s="5" t="n">
        <f aca="false">원자료!P7</f>
        <v>1079</v>
      </c>
      <c r="Q7" s="5" t="n">
        <f aca="false">원자료!Q7</f>
        <v>1035</v>
      </c>
      <c r="R7" s="5" t="n">
        <f aca="false">원자료!R7</f>
        <v>992</v>
      </c>
      <c r="S7" s="5" t="n">
        <f aca="false">원자료!S7</f>
        <v>964</v>
      </c>
    </row>
    <row r="8" customFormat="false" ht="15" hidden="false" customHeight="false" outlineLevel="0" collapsed="false">
      <c r="A8" s="4" t="s">
        <v>6</v>
      </c>
      <c r="B8" s="5" t="n">
        <f aca="false">원자료!B8</f>
        <v>1773</v>
      </c>
      <c r="C8" s="5" t="n">
        <f aca="false">원자료!C8</f>
        <v>1857</v>
      </c>
      <c r="D8" s="5" t="n">
        <f aca="false">원자료!D8</f>
        <v>1998</v>
      </c>
      <c r="E8" s="5" t="n">
        <f aca="false">원자료!E8</f>
        <v>2181</v>
      </c>
      <c r="F8" s="5" t="n">
        <f aca="false">원자료!F8</f>
        <v>2263</v>
      </c>
      <c r="G8" s="5" t="n">
        <f aca="false">원자료!G8</f>
        <v>2308</v>
      </c>
      <c r="H8" s="5" t="n">
        <f aca="false">원자료!H8</f>
        <v>2278</v>
      </c>
      <c r="I8" s="5" t="n">
        <f aca="false">원자료!I8</f>
        <v>2231</v>
      </c>
      <c r="J8" s="5" t="n">
        <f aca="false">원자료!J8</f>
        <v>2186</v>
      </c>
      <c r="K8" s="5" t="n">
        <f aca="false">원자료!K8</f>
        <v>2141</v>
      </c>
      <c r="L8" s="5" t="n">
        <f aca="false">원자료!L8</f>
        <v>2049</v>
      </c>
      <c r="M8" s="5" t="n">
        <f aca="false">원자료!M8</f>
        <v>1943</v>
      </c>
      <c r="N8" s="5" t="n">
        <f aca="false">원자료!N8</f>
        <v>1803</v>
      </c>
      <c r="O8" s="5" t="n">
        <f aca="false">원자료!O8</f>
        <v>1697</v>
      </c>
      <c r="P8" s="5" t="n">
        <f aca="false">원자료!P8</f>
        <v>1652</v>
      </c>
      <c r="Q8" s="5" t="n">
        <f aca="false">원자료!Q8</f>
        <v>1613</v>
      </c>
      <c r="R8" s="5" t="n">
        <f aca="false">원자료!R8</f>
        <v>1556</v>
      </c>
      <c r="S8" s="5" t="n">
        <f aca="false">원자료!S8</f>
        <v>1529</v>
      </c>
    </row>
    <row r="9" customFormat="false" ht="15" hidden="false" customHeight="false" outlineLevel="0" collapsed="false">
      <c r="A9" s="4" t="s">
        <v>7</v>
      </c>
      <c r="B9" s="5" t="n">
        <f aca="false">원자료!B9</f>
        <v>1417</v>
      </c>
      <c r="C9" s="5" t="n">
        <f aca="false">원자료!C9</f>
        <v>1535</v>
      </c>
      <c r="D9" s="5" t="n">
        <f aca="false">원자료!D9</f>
        <v>1599</v>
      </c>
      <c r="E9" s="5" t="n">
        <f aca="false">원자료!E9</f>
        <v>1659</v>
      </c>
      <c r="F9" s="5" t="n">
        <f aca="false">원자료!F9</f>
        <v>1680</v>
      </c>
      <c r="G9" s="5" t="n">
        <f aca="false">원자료!G9</f>
        <v>1698</v>
      </c>
      <c r="H9" s="5" t="n">
        <f aca="false">원자료!H9</f>
        <v>1669</v>
      </c>
      <c r="I9" s="5" t="n">
        <f aca="false">원자료!I9</f>
        <v>1584</v>
      </c>
      <c r="J9" s="5" t="n">
        <f aca="false">원자료!J9</f>
        <v>1505</v>
      </c>
      <c r="K9" s="5" t="n">
        <f aca="false">원자료!K9</f>
        <v>1406</v>
      </c>
      <c r="L9" s="5" t="n">
        <f aca="false">원자료!L9</f>
        <v>1288</v>
      </c>
      <c r="M9" s="5" t="n">
        <f aca="false">원자료!M9</f>
        <v>1185</v>
      </c>
      <c r="N9" s="5" t="n">
        <f aca="false">원자료!N9</f>
        <v>1101</v>
      </c>
      <c r="O9" s="5" t="n">
        <f aca="false">원자료!O9</f>
        <v>1013</v>
      </c>
      <c r="P9" s="5" t="n">
        <f aca="false">원자료!P9</f>
        <v>916</v>
      </c>
      <c r="Q9" s="5" t="n">
        <f aca="false">원자료!Q9</f>
        <v>864</v>
      </c>
      <c r="R9" s="5" t="n">
        <f aca="false">원자료!R9</f>
        <v>826</v>
      </c>
      <c r="S9" s="5" t="n">
        <f aca="false">원자료!S9</f>
        <v>791</v>
      </c>
    </row>
    <row r="10" customFormat="false" ht="15" hidden="false" customHeight="false" outlineLevel="0" collapsed="false">
      <c r="A10" s="4" t="s">
        <v>8</v>
      </c>
      <c r="B10" s="5" t="n">
        <f aca="false">원자료!B10</f>
        <v>660</v>
      </c>
      <c r="C10" s="5" t="n">
        <f aca="false">원자료!C10</f>
        <v>754</v>
      </c>
      <c r="D10" s="5" t="n">
        <f aca="false">원자료!D10</f>
        <v>818</v>
      </c>
      <c r="E10" s="5" t="n">
        <f aca="false">원자료!E10</f>
        <v>893</v>
      </c>
      <c r="F10" s="5" t="n">
        <f aca="false">원자료!F10</f>
        <v>933</v>
      </c>
      <c r="G10" s="5" t="n">
        <f aca="false">원자료!G10</f>
        <v>946</v>
      </c>
      <c r="H10" s="5" t="n">
        <f aca="false">원자료!H10</f>
        <v>934</v>
      </c>
      <c r="I10" s="5" t="n">
        <f aca="false">원자료!I10</f>
        <v>895</v>
      </c>
      <c r="J10" s="5" t="n">
        <f aca="false">원자료!J10</f>
        <v>881</v>
      </c>
      <c r="K10" s="5" t="n">
        <f aca="false">원자료!K10</f>
        <v>868</v>
      </c>
      <c r="L10" s="5" t="n">
        <f aca="false">원자료!L10</f>
        <v>842</v>
      </c>
      <c r="M10" s="5" t="n">
        <f aca="false">원자료!M10</f>
        <v>790</v>
      </c>
      <c r="N10" s="5" t="n">
        <f aca="false">원자료!N10</f>
        <v>720</v>
      </c>
      <c r="O10" s="5" t="n">
        <f aca="false">원자료!O10</f>
        <v>656</v>
      </c>
      <c r="P10" s="5" t="n">
        <f aca="false">원자료!P10</f>
        <v>612</v>
      </c>
      <c r="Q10" s="5" t="n">
        <f aca="false">원자료!Q10</f>
        <v>569</v>
      </c>
      <c r="R10" s="5" t="n">
        <f aca="false">원자료!R10</f>
        <v>535</v>
      </c>
      <c r="S10" s="5" t="n">
        <f aca="false">원자료!S10</f>
        <v>512</v>
      </c>
    </row>
    <row r="11" customFormat="false" ht="15" hidden="false" customHeight="false" outlineLevel="0" collapsed="false">
      <c r="A11" s="4" t="s">
        <v>9</v>
      </c>
      <c r="B11" s="5" t="n">
        <f aca="false">원자료!B11</f>
        <v>0</v>
      </c>
      <c r="C11" s="5" t="n">
        <f aca="false">원자료!C11</f>
        <v>0</v>
      </c>
      <c r="D11" s="5" t="n">
        <f aca="false">원자료!D11</f>
        <v>0</v>
      </c>
      <c r="E11" s="5" t="n">
        <f aca="false">원자료!E11</f>
        <v>106</v>
      </c>
      <c r="F11" s="5" t="n">
        <f aca="false">원자료!F11</f>
        <v>118</v>
      </c>
      <c r="G11" s="5" t="n">
        <f aca="false">원자료!G11</f>
        <v>160</v>
      </c>
      <c r="H11" s="5" t="n">
        <f aca="false">원자료!H11</f>
        <v>216</v>
      </c>
      <c r="I11" s="5" t="n">
        <f aca="false">원자료!I11</f>
        <v>250</v>
      </c>
      <c r="J11" s="5" t="n">
        <f aca="false">원자료!J11</f>
        <v>289</v>
      </c>
      <c r="K11" s="5" t="n">
        <f aca="false">원자료!K11</f>
        <v>343</v>
      </c>
      <c r="L11" s="5" t="n">
        <f aca="false">원자료!L11</f>
        <v>359</v>
      </c>
      <c r="M11" s="5" t="n">
        <f aca="false">원자료!M11</f>
        <v>350</v>
      </c>
      <c r="N11" s="5" t="n">
        <f aca="false">원자료!N11</f>
        <v>343</v>
      </c>
      <c r="O11" s="5" t="n">
        <f aca="false">원자료!O11</f>
        <v>327</v>
      </c>
      <c r="P11" s="5" t="n">
        <f aca="false">원자료!P11</f>
        <v>314</v>
      </c>
      <c r="Q11" s="5" t="n">
        <f aca="false">원자료!Q11</f>
        <v>305</v>
      </c>
      <c r="R11" s="5" t="n">
        <f aca="false">원자료!R11</f>
        <v>286</v>
      </c>
      <c r="S11" s="5" t="n">
        <f aca="false">원자료!S11</f>
        <v>269</v>
      </c>
    </row>
    <row r="12" customFormat="false" ht="15" hidden="false" customHeight="false" outlineLevel="0" collapsed="false">
      <c r="A12" s="4" t="s">
        <v>10</v>
      </c>
      <c r="B12" s="5" t="n">
        <f aca="false">원자료!B12</f>
        <v>10465</v>
      </c>
      <c r="C12" s="5" t="n">
        <f aca="false">원자료!C12</f>
        <v>11273</v>
      </c>
      <c r="D12" s="5" t="n">
        <f aca="false">원자료!D12</f>
        <v>11825</v>
      </c>
      <c r="E12" s="5" t="n">
        <f aca="false">원자료!E12</f>
        <v>12869</v>
      </c>
      <c r="F12" s="5" t="n">
        <f aca="false">원자료!F12</f>
        <v>13364</v>
      </c>
      <c r="G12" s="5" t="n">
        <f aca="false">원자료!G12</f>
        <v>13259</v>
      </c>
      <c r="H12" s="5" t="n">
        <f aca="false">원자료!H12</f>
        <v>12689</v>
      </c>
      <c r="I12" s="5" t="n">
        <f aca="false">원자료!I12</f>
        <v>12120</v>
      </c>
      <c r="J12" s="5" t="n">
        <f aca="false">원자료!J12</f>
        <v>11825</v>
      </c>
      <c r="K12" s="5" t="n">
        <f aca="false">원자료!K12</f>
        <v>11682</v>
      </c>
      <c r="L12" s="5" t="n">
        <f aca="false">원자료!L12</f>
        <v>11305</v>
      </c>
      <c r="M12" s="5" t="n">
        <f aca="false">원자료!M12</f>
        <v>10761</v>
      </c>
      <c r="N12" s="5" t="n">
        <f aca="false">원자료!N12</f>
        <v>10136</v>
      </c>
      <c r="O12" s="5" t="n">
        <f aca="false">원자료!O12</f>
        <v>9438</v>
      </c>
      <c r="P12" s="5" t="n">
        <f aca="false">원자료!P12</f>
        <v>8903</v>
      </c>
      <c r="Q12" s="5" t="n">
        <f aca="false">원자료!Q12</f>
        <v>8407</v>
      </c>
      <c r="R12" s="5" t="n">
        <f aca="false">원자료!R12</f>
        <v>8030</v>
      </c>
      <c r="S12" s="5" t="n">
        <f aca="false">원자료!S12</f>
        <v>7774</v>
      </c>
    </row>
    <row r="13" customFormat="false" ht="15" hidden="false" customHeight="false" outlineLevel="0" collapsed="false">
      <c r="A13" s="4" t="s">
        <v>11</v>
      </c>
      <c r="B13" s="5" t="n">
        <f aca="false">원자료!B13</f>
        <v>926</v>
      </c>
      <c r="C13" s="5" t="n">
        <f aca="false">원자료!C13</f>
        <v>1085</v>
      </c>
      <c r="D13" s="5" t="n">
        <f aca="false">원자료!D13</f>
        <v>1147</v>
      </c>
      <c r="E13" s="5" t="n">
        <f aca="false">원자료!E13</f>
        <v>1244</v>
      </c>
      <c r="F13" s="5" t="n">
        <f aca="false">원자료!F13</f>
        <v>1265</v>
      </c>
      <c r="G13" s="5" t="n">
        <f aca="false">원자료!G13</f>
        <v>1257</v>
      </c>
      <c r="H13" s="5" t="n">
        <f aca="false">원자료!H13</f>
        <v>1227</v>
      </c>
      <c r="I13" s="5" t="n">
        <f aca="false">원자료!I13</f>
        <v>1180</v>
      </c>
      <c r="J13" s="5" t="n">
        <f aca="false">원자료!J13</f>
        <v>1149</v>
      </c>
      <c r="K13" s="5" t="n">
        <f aca="false">원자료!K13</f>
        <v>1086</v>
      </c>
      <c r="L13" s="5" t="n">
        <f aca="false">원자료!L13</f>
        <v>1036</v>
      </c>
      <c r="M13" s="5" t="n">
        <f aca="false">원자료!M13</f>
        <v>999</v>
      </c>
      <c r="N13" s="5" t="n">
        <f aca="false">원자료!N13</f>
        <v>954</v>
      </c>
      <c r="O13" s="5" t="n">
        <f aca="false">원자료!O13</f>
        <v>906</v>
      </c>
      <c r="P13" s="5" t="n">
        <f aca="false">원자료!P13</f>
        <v>847</v>
      </c>
      <c r="Q13" s="5" t="n">
        <f aca="false">원자료!Q13</f>
        <v>816</v>
      </c>
      <c r="R13" s="5" t="n">
        <f aca="false">원자료!R13</f>
        <v>779</v>
      </c>
      <c r="S13" s="5" t="n">
        <f aca="false">원자료!S13</f>
        <v>748</v>
      </c>
    </row>
    <row r="14" customFormat="false" ht="15" hidden="false" customHeight="false" outlineLevel="0" collapsed="false">
      <c r="A14" s="4" t="s">
        <v>12</v>
      </c>
      <c r="B14" s="5" t="n">
        <f aca="false">원자료!B14</f>
        <v>1037</v>
      </c>
      <c r="C14" s="5" t="n">
        <f aca="false">원자료!C14</f>
        <v>1112</v>
      </c>
      <c r="D14" s="5" t="n">
        <f aca="false">원자료!D14</f>
        <v>1133</v>
      </c>
      <c r="E14" s="5" t="n">
        <f aca="false">원자료!E14</f>
        <v>1179</v>
      </c>
      <c r="F14" s="5" t="n">
        <f aca="false">원자료!F14</f>
        <v>1212</v>
      </c>
      <c r="G14" s="5" t="n">
        <f aca="false">원자료!G14</f>
        <v>1229</v>
      </c>
      <c r="H14" s="5" t="n">
        <f aca="false">원자료!H14</f>
        <v>1230</v>
      </c>
      <c r="I14" s="5" t="n">
        <f aca="false">원자료!I14</f>
        <v>1208</v>
      </c>
      <c r="J14" s="5" t="n">
        <f aca="false">원자료!J14</f>
        <v>1186</v>
      </c>
      <c r="K14" s="5" t="n">
        <f aca="false">원자료!K14</f>
        <v>1157</v>
      </c>
      <c r="L14" s="5" t="n">
        <f aca="false">원자료!L14</f>
        <v>1130</v>
      </c>
      <c r="M14" s="5" t="n">
        <f aca="false">원자료!M14</f>
        <v>1082</v>
      </c>
      <c r="N14" s="5" t="n">
        <f aca="false">원자료!N14</f>
        <v>1042</v>
      </c>
      <c r="O14" s="5" t="n">
        <f aca="false">원자료!O14</f>
        <v>972</v>
      </c>
      <c r="P14" s="5" t="n">
        <f aca="false">원자료!P14</f>
        <v>921</v>
      </c>
      <c r="Q14" s="5" t="n">
        <f aca="false">원자료!Q14</f>
        <v>877</v>
      </c>
      <c r="R14" s="5" t="n">
        <f aca="false">원자료!R14</f>
        <v>837</v>
      </c>
      <c r="S14" s="5" t="n">
        <f aca="false">원자료!S14</f>
        <v>800</v>
      </c>
    </row>
    <row r="15" customFormat="false" ht="15" hidden="false" customHeight="false" outlineLevel="0" collapsed="false">
      <c r="A15" s="4" t="s">
        <v>13</v>
      </c>
      <c r="B15" s="5" t="n">
        <f aca="false">원자료!B15</f>
        <v>1470</v>
      </c>
      <c r="C15" s="5" t="n">
        <f aca="false">원자료!C15</f>
        <v>1687</v>
      </c>
      <c r="D15" s="5" t="n">
        <f aca="false">원자료!D15</f>
        <v>1857</v>
      </c>
      <c r="E15" s="5" t="n">
        <f aca="false">원자료!E15</f>
        <v>1991</v>
      </c>
      <c r="F15" s="5" t="n">
        <f aca="false">원자료!F15</f>
        <v>2083</v>
      </c>
      <c r="G15" s="5" t="n">
        <f aca="false">원자료!G15</f>
        <v>2053</v>
      </c>
      <c r="H15" s="5" t="n">
        <f aca="false">원자료!H15</f>
        <v>1988</v>
      </c>
      <c r="I15" s="5" t="n">
        <f aca="false">원자료!I15</f>
        <v>1974</v>
      </c>
      <c r="J15" s="5" t="n">
        <f aca="false">원자료!J15</f>
        <v>1955</v>
      </c>
      <c r="K15" s="5" t="n">
        <f aca="false">원자료!K15</f>
        <v>1916</v>
      </c>
      <c r="L15" s="5" t="n">
        <f aca="false">원자료!L15</f>
        <v>1812</v>
      </c>
      <c r="M15" s="5" t="n">
        <f aca="false">원자료!M15</f>
        <v>1717</v>
      </c>
      <c r="N15" s="5" t="n">
        <f aca="false">원자료!N15</f>
        <v>1625</v>
      </c>
      <c r="O15" s="5" t="n">
        <f aca="false">원자료!O15</f>
        <v>1516</v>
      </c>
      <c r="P15" s="5" t="n">
        <f aca="false">원자료!P15</f>
        <v>1421</v>
      </c>
      <c r="Q15" s="5" t="n">
        <f aca="false">원자료!Q15</f>
        <v>1338</v>
      </c>
      <c r="R15" s="5" t="n">
        <f aca="false">원자료!R15</f>
        <v>1272</v>
      </c>
      <c r="S15" s="5" t="n">
        <f aca="false">원자료!S15</f>
        <v>1206</v>
      </c>
    </row>
    <row r="16" customFormat="false" ht="15" hidden="false" customHeight="false" outlineLevel="0" collapsed="false">
      <c r="A16" s="4" t="s">
        <v>14</v>
      </c>
      <c r="B16" s="5" t="n">
        <f aca="false">원자료!B16</f>
        <v>1506</v>
      </c>
      <c r="C16" s="5" t="n">
        <f aca="false">원자료!C16</f>
        <v>1531</v>
      </c>
      <c r="D16" s="5" t="n">
        <f aca="false">원자료!D16</f>
        <v>1580</v>
      </c>
      <c r="E16" s="5" t="n">
        <f aca="false">원자료!E16</f>
        <v>1620</v>
      </c>
      <c r="F16" s="5" t="n">
        <f aca="false">원자료!F16</f>
        <v>1647</v>
      </c>
      <c r="G16" s="5" t="n">
        <f aca="false">원자료!G16</f>
        <v>1654</v>
      </c>
      <c r="H16" s="5" t="n">
        <f aca="false">원자료!H16</f>
        <v>1623</v>
      </c>
      <c r="I16" s="5" t="n">
        <f aca="false">원자료!I16</f>
        <v>1562</v>
      </c>
      <c r="J16" s="5" t="n">
        <f aca="false">원자료!J16</f>
        <v>1497</v>
      </c>
      <c r="K16" s="5" t="n">
        <f aca="false">원자료!K16</f>
        <v>1397</v>
      </c>
      <c r="L16" s="5" t="n">
        <f aca="false">원자료!L16</f>
        <v>1288</v>
      </c>
      <c r="M16" s="5" t="n">
        <f aca="false">원자료!M16</f>
        <v>1195</v>
      </c>
      <c r="N16" s="5" t="n">
        <f aca="false">원자료!N16</f>
        <v>1115</v>
      </c>
      <c r="O16" s="5" t="n">
        <f aca="false">원자료!O16</f>
        <v>1024</v>
      </c>
      <c r="P16" s="5" t="n">
        <f aca="false">원자료!P16</f>
        <v>944</v>
      </c>
      <c r="Q16" s="5" t="n">
        <f aca="false">원자료!Q16</f>
        <v>902</v>
      </c>
      <c r="R16" s="5" t="n">
        <f aca="false">원자료!R16</f>
        <v>856</v>
      </c>
      <c r="S16" s="5" t="n">
        <f aca="false">원자료!S16</f>
        <v>832</v>
      </c>
    </row>
    <row r="17" customFormat="false" ht="15" hidden="false" customHeight="false" outlineLevel="0" collapsed="false">
      <c r="A17" s="4" t="s">
        <v>15</v>
      </c>
      <c r="B17" s="5" t="n">
        <f aca="false">원자료!B17</f>
        <v>1827</v>
      </c>
      <c r="C17" s="5" t="n">
        <f aca="false">원자료!C17</f>
        <v>1998</v>
      </c>
      <c r="D17" s="5" t="n">
        <f aca="false">원자료!D17</f>
        <v>2162</v>
      </c>
      <c r="E17" s="5" t="n">
        <f aca="false">원자료!E17</f>
        <v>2264</v>
      </c>
      <c r="F17" s="5" t="n">
        <f aca="false">원자료!F17</f>
        <v>2273</v>
      </c>
      <c r="G17" s="5" t="n">
        <f aca="false">원자료!G17</f>
        <v>2212</v>
      </c>
      <c r="H17" s="5" t="n">
        <f aca="false">원자료!H17</f>
        <v>2130</v>
      </c>
      <c r="I17" s="5" t="n">
        <f aca="false">원자료!I17</f>
        <v>2102</v>
      </c>
      <c r="J17" s="5" t="n">
        <f aca="false">원자료!J17</f>
        <v>2063</v>
      </c>
      <c r="K17" s="5" t="n">
        <f aca="false">원자료!K17</f>
        <v>1976</v>
      </c>
      <c r="L17" s="5" t="n">
        <f aca="false">원자료!L17</f>
        <v>1844</v>
      </c>
      <c r="M17" s="5" t="n">
        <f aca="false">원자료!M17</f>
        <v>1725</v>
      </c>
      <c r="N17" s="5" t="n">
        <f aca="false">원자료!N17</f>
        <v>1617</v>
      </c>
      <c r="O17" s="5" t="n">
        <f aca="false">원자료!O17</f>
        <v>1463</v>
      </c>
      <c r="P17" s="5" t="n">
        <f aca="false">원자료!P17</f>
        <v>1310</v>
      </c>
      <c r="Q17" s="5" t="n">
        <f aca="false">원자료!Q17</f>
        <v>1234</v>
      </c>
      <c r="R17" s="5" t="n">
        <f aca="false">원자료!R17</f>
        <v>1162</v>
      </c>
      <c r="S17" s="5" t="n">
        <f aca="false">원자료!S17</f>
        <v>1094</v>
      </c>
    </row>
    <row r="18" customFormat="false" ht="15" hidden="false" customHeight="false" outlineLevel="0" collapsed="false">
      <c r="A18" s="4" t="s">
        <v>16</v>
      </c>
      <c r="B18" s="5" t="n">
        <f aca="false">원자료!B18</f>
        <v>2861</v>
      </c>
      <c r="C18" s="5" t="n">
        <f aca="false">원자료!C18</f>
        <v>3234</v>
      </c>
      <c r="D18" s="5" t="n">
        <f aca="false">원자료!D18</f>
        <v>3399</v>
      </c>
      <c r="E18" s="5" t="n">
        <f aca="false">원자료!E18</f>
        <v>3562</v>
      </c>
      <c r="F18" s="5" t="n">
        <f aca="false">원자료!F18</f>
        <v>3626</v>
      </c>
      <c r="G18" s="5" t="n">
        <f aca="false">원자료!G18</f>
        <v>3533</v>
      </c>
      <c r="H18" s="5" t="n">
        <f aca="false">원자료!H18</f>
        <v>3349</v>
      </c>
      <c r="I18" s="5" t="n">
        <f aca="false">원자료!I18</f>
        <v>3158</v>
      </c>
      <c r="J18" s="5" t="n">
        <f aca="false">원자료!J18</f>
        <v>3084</v>
      </c>
      <c r="K18" s="5" t="n">
        <f aca="false">원자료!K18</f>
        <v>2982</v>
      </c>
      <c r="L18" s="5" t="n">
        <f aca="false">원자료!L18</f>
        <v>2777</v>
      </c>
      <c r="M18" s="5" t="n">
        <f aca="false">원자료!M18</f>
        <v>2544</v>
      </c>
      <c r="N18" s="5" t="n">
        <f aca="false">원자료!N18</f>
        <v>2357</v>
      </c>
      <c r="O18" s="5" t="n">
        <f aca="false">원자료!O18</f>
        <v>2123</v>
      </c>
      <c r="P18" s="5" t="n">
        <f aca="false">원자료!P18</f>
        <v>1904</v>
      </c>
      <c r="Q18" s="5" t="n">
        <f aca="false">원자료!Q18</f>
        <v>1723</v>
      </c>
      <c r="R18" s="5" t="n">
        <f aca="false">원자료!R18</f>
        <v>1613</v>
      </c>
      <c r="S18" s="5" t="n">
        <f aca="false">원자료!S18</f>
        <v>1499</v>
      </c>
    </row>
    <row r="19" customFormat="false" ht="15" hidden="false" customHeight="false" outlineLevel="0" collapsed="false">
      <c r="A19" s="4" t="s">
        <v>17</v>
      </c>
      <c r="B19" s="5" t="n">
        <f aca="false">원자료!B19</f>
        <v>502</v>
      </c>
      <c r="C19" s="5" t="n">
        <f aca="false">원자료!C19</f>
        <v>525</v>
      </c>
      <c r="D19" s="5" t="n">
        <f aca="false">원자료!D19</f>
        <v>552</v>
      </c>
      <c r="E19" s="5" t="n">
        <f aca="false">원자료!E19</f>
        <v>584</v>
      </c>
      <c r="F19" s="5" t="n">
        <f aca="false">원자료!F19</f>
        <v>604</v>
      </c>
      <c r="G19" s="5" t="n">
        <f aca="false">원자료!G19</f>
        <v>599</v>
      </c>
      <c r="H19" s="5" t="n">
        <f aca="false">원자료!H19</f>
        <v>574</v>
      </c>
      <c r="I19" s="5" t="n">
        <f aca="false">원자료!I19</f>
        <v>543</v>
      </c>
      <c r="J19" s="5" t="n">
        <f aca="false">원자료!J19</f>
        <v>527</v>
      </c>
      <c r="K19" s="5" t="n">
        <f aca="false">원자료!K19</f>
        <v>513</v>
      </c>
      <c r="L19" s="5" t="n">
        <f aca="false">원자료!L19</f>
        <v>504</v>
      </c>
      <c r="M19" s="5" t="n">
        <f aca="false">원자료!M19</f>
        <v>489</v>
      </c>
      <c r="N19" s="5" t="n">
        <f aca="false">원자료!N19</f>
        <v>476</v>
      </c>
      <c r="O19" s="5" t="n">
        <f aca="false">원자료!O19</f>
        <v>451</v>
      </c>
      <c r="P19" s="5" t="n">
        <f aca="false">원자료!P19</f>
        <v>423</v>
      </c>
      <c r="Q19" s="5" t="n">
        <f aca="false">원자료!Q19</f>
        <v>399</v>
      </c>
      <c r="R19" s="5" t="n">
        <f aca="false">원자료!R19</f>
        <v>378</v>
      </c>
      <c r="S19" s="5" t="n">
        <f aca="false">원자료!S19</f>
        <v>365</v>
      </c>
    </row>
    <row r="20" customFormat="false" ht="17.15" hidden="false" customHeight="false" outlineLevel="0" collapsed="false">
      <c r="A20" s="4" t="s">
        <v>18</v>
      </c>
      <c r="B20" s="5" t="n">
        <f aca="false">원자료!B22</f>
        <v>2267</v>
      </c>
      <c r="C20" s="5" t="n">
        <f aca="false">원자료!C22</f>
        <v>2327</v>
      </c>
      <c r="D20" s="5" t="n">
        <f aca="false">원자료!D22</f>
        <v>2366</v>
      </c>
      <c r="E20" s="5" t="n">
        <f aca="false">원자료!E22</f>
        <v>2427</v>
      </c>
      <c r="F20" s="5" t="n">
        <f aca="false">원자료!F22</f>
        <v>2473</v>
      </c>
      <c r="G20" s="5" t="n">
        <f aca="false">원자료!G22</f>
        <v>2502</v>
      </c>
      <c r="H20" s="5" t="n">
        <f aca="false">원자료!H22</f>
        <v>2502</v>
      </c>
      <c r="I20" s="5" t="n">
        <f aca="false">원자료!I22</f>
        <v>2489</v>
      </c>
      <c r="J20" s="5" t="n">
        <f aca="false">원자료!J22</f>
        <v>2481</v>
      </c>
      <c r="K20" s="5" t="n">
        <f aca="false">원자료!K22</f>
        <v>2400</v>
      </c>
      <c r="L20" s="5" t="n">
        <f aca="false">원자료!L22</f>
        <v>2269</v>
      </c>
      <c r="M20" s="5" t="n">
        <f aca="false">원자료!M22</f>
        <v>2156</v>
      </c>
      <c r="N20" s="5" t="n">
        <f aca="false">원자료!N22</f>
        <v>2053</v>
      </c>
      <c r="O20" s="5" t="n">
        <f aca="false">원자료!O22</f>
        <v>1939</v>
      </c>
      <c r="P20" s="5" t="n">
        <f aca="false">원자료!P22</f>
        <v>1830</v>
      </c>
      <c r="Q20" s="5" t="n">
        <f aca="false">원자료!Q22</f>
        <v>1739</v>
      </c>
      <c r="R20" s="5" t="n">
        <f aca="false">원자료!R22</f>
        <v>1654</v>
      </c>
      <c r="S20" s="5" t="n">
        <f aca="false">원자료!S22</f>
        <v>1568</v>
      </c>
    </row>
    <row r="21" customFormat="false" ht="17.15" hidden="false" customHeight="false" outlineLevel="0" collapsed="false">
      <c r="A21" s="6" t="s">
        <v>19</v>
      </c>
      <c r="B21" s="7" t="n">
        <f aca="false">SUM(B5:B20)</f>
        <v>35550</v>
      </c>
      <c r="C21" s="7" t="n">
        <f aca="false">SUM(C5:C20)</f>
        <v>38021</v>
      </c>
      <c r="D21" s="7" t="n">
        <f aca="false">SUM(D5:D20)</f>
        <v>39842</v>
      </c>
      <c r="E21" s="7" t="n">
        <f aca="false">SUM(E5:E20)</f>
        <v>42527</v>
      </c>
      <c r="F21" s="7" t="n">
        <f aca="false">SUM(F5:F20)</f>
        <v>43770</v>
      </c>
      <c r="G21" s="7" t="n">
        <f aca="false">SUM(G5:G20)</f>
        <v>43742</v>
      </c>
      <c r="H21" s="7" t="n">
        <f aca="false">SUM(H5:H20)</f>
        <v>42517</v>
      </c>
      <c r="I21" s="7" t="n">
        <f aca="false">SUM(I5:I20)</f>
        <v>41084</v>
      </c>
      <c r="J21" s="7" t="n">
        <f aca="false">SUM(J5:J20)</f>
        <v>40238</v>
      </c>
      <c r="K21" s="7" t="n">
        <f aca="false">SUM(K5:K20)</f>
        <v>39171</v>
      </c>
      <c r="L21" s="7" t="n">
        <f aca="false">SUM(L5:L20)</f>
        <v>37371</v>
      </c>
      <c r="M21" s="7" t="n">
        <f aca="false">SUM(M5:M20)</f>
        <v>35352</v>
      </c>
      <c r="N21" s="7" t="n">
        <f aca="false">SUM(N5:N20)</f>
        <v>33246</v>
      </c>
      <c r="O21" s="7" t="n">
        <f aca="false">SUM(O5:O20)</f>
        <v>30923</v>
      </c>
      <c r="P21" s="7" t="n">
        <f aca="false">SUM(P5:P20)</f>
        <v>28954</v>
      </c>
      <c r="Q21" s="7" t="n">
        <f aca="false">SUM(Q5:Q20)</f>
        <v>27387</v>
      </c>
      <c r="R21" s="7" t="n">
        <f aca="false">SUM(R5:R20)</f>
        <v>26064</v>
      </c>
      <c r="S21" s="7" t="n">
        <f aca="false">SUM(S5:S20)</f>
        <v>25042</v>
      </c>
    </row>
    <row r="22" customFormat="false" ht="17.15" hidden="false" customHeight="false" outlineLevel="0" collapsed="false">
      <c r="A22" s="8" t="s">
        <v>20</v>
      </c>
      <c r="B22" s="5" t="n">
        <f aca="false">원자료!B23</f>
        <v>35550</v>
      </c>
      <c r="C22" s="5" t="n">
        <f aca="false">원자료!C23</f>
        <v>38021</v>
      </c>
      <c r="D22" s="5" t="n">
        <f aca="false">원자료!D23</f>
        <v>39842</v>
      </c>
      <c r="E22" s="5" t="n">
        <f aca="false">원자료!E23</f>
        <v>42527</v>
      </c>
      <c r="F22" s="5" t="n">
        <f aca="false">원자료!F23</f>
        <v>43770</v>
      </c>
      <c r="G22" s="5" t="n">
        <f aca="false">원자료!G23</f>
        <v>43742</v>
      </c>
      <c r="H22" s="5" t="n">
        <f aca="false">원자료!H23</f>
        <v>42517</v>
      </c>
      <c r="I22" s="5" t="n">
        <f aca="false">원자료!I23</f>
        <v>41084</v>
      </c>
      <c r="J22" s="5" t="n">
        <f aca="false">원자료!J23</f>
        <v>40238</v>
      </c>
      <c r="K22" s="5" t="n">
        <f aca="false">원자료!K23</f>
        <v>39171</v>
      </c>
      <c r="L22" s="5" t="n">
        <f aca="false">원자료!L23</f>
        <v>37371</v>
      </c>
      <c r="M22" s="5" t="n">
        <f aca="false">원자료!M23</f>
        <v>35352</v>
      </c>
      <c r="N22" s="5" t="n">
        <f aca="false">원자료!N23</f>
        <v>33246</v>
      </c>
      <c r="O22" s="5" t="n">
        <f aca="false">원자료!O23</f>
        <v>30923</v>
      </c>
      <c r="P22" s="5" t="n">
        <f aca="false">원자료!P23</f>
        <v>28954</v>
      </c>
      <c r="Q22" s="5" t="n">
        <f aca="false">원자료!Q23</f>
        <v>27387</v>
      </c>
      <c r="R22" s="5" t="n">
        <f aca="false">원자료!R23</f>
        <v>26064</v>
      </c>
      <c r="S22" s="5" t="n">
        <f aca="false">원자료!S23</f>
        <v>25042</v>
      </c>
    </row>
    <row r="23" customFormat="false" ht="17.15" hidden="false" customHeight="false" outlineLevel="0" collapsed="false">
      <c r="A23" s="9" t="s">
        <v>21</v>
      </c>
      <c r="B23" s="10" t="n">
        <f aca="false">B21-B22</f>
        <v>0</v>
      </c>
      <c r="C23" s="10" t="n">
        <f aca="false">C21-C22</f>
        <v>0</v>
      </c>
      <c r="D23" s="10" t="n">
        <f aca="false">D21-D22</f>
        <v>0</v>
      </c>
      <c r="E23" s="10" t="n">
        <f aca="false">E21-E22</f>
        <v>0</v>
      </c>
      <c r="F23" s="10" t="n">
        <f aca="false">F21-F22</f>
        <v>0</v>
      </c>
      <c r="G23" s="10" t="n">
        <f aca="false">G21-G22</f>
        <v>0</v>
      </c>
      <c r="H23" s="10" t="n">
        <f aca="false">H21-H22</f>
        <v>0</v>
      </c>
      <c r="I23" s="10" t="n">
        <f aca="false">I21-I22</f>
        <v>0</v>
      </c>
      <c r="J23" s="10" t="n">
        <f aca="false">J21-J22</f>
        <v>0</v>
      </c>
      <c r="K23" s="10" t="n">
        <f aca="false">K21-K22</f>
        <v>0</v>
      </c>
      <c r="L23" s="10" t="n">
        <f aca="false">L21-L22</f>
        <v>0</v>
      </c>
      <c r="M23" s="10" t="n">
        <f aca="false">M21-M22</f>
        <v>0</v>
      </c>
      <c r="N23" s="10" t="n">
        <f aca="false">N21-N22</f>
        <v>0</v>
      </c>
      <c r="O23" s="10" t="n">
        <f aca="false">O21-O22</f>
        <v>0</v>
      </c>
      <c r="P23" s="10" t="n">
        <f aca="false">P21-P22</f>
        <v>0</v>
      </c>
      <c r="Q23" s="10" t="n">
        <f aca="false">Q21-Q22</f>
        <v>0</v>
      </c>
      <c r="R23" s="10" t="n">
        <f aca="false">R21-R22</f>
        <v>0</v>
      </c>
      <c r="S23" s="10" t="n">
        <f aca="false">S21-S22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14" min="2" style="0" width="11"/>
  </cols>
  <sheetData>
    <row r="1" customFormat="false" ht="21.6" hidden="false" customHeight="false" outlineLevel="0" collapsed="false">
      <c r="A1" s="1" t="s">
        <v>22</v>
      </c>
    </row>
    <row r="2" customFormat="false" ht="15" hidden="false" customHeight="false" outlineLevel="0" collapsed="false">
      <c r="A2" s="11" t="s">
        <v>23</v>
      </c>
    </row>
    <row r="4" customFormat="false" ht="15" hidden="false" customHeight="false" outlineLevel="0" collapsed="false">
      <c r="A4" s="3" t="s">
        <v>2</v>
      </c>
      <c r="B4" s="3" t="n">
        <v>2010</v>
      </c>
      <c r="C4" s="3" t="n">
        <v>2011</v>
      </c>
      <c r="D4" s="3" t="n">
        <v>2012</v>
      </c>
      <c r="E4" s="3" t="n">
        <v>2013</v>
      </c>
      <c r="F4" s="3" t="n">
        <v>2014</v>
      </c>
      <c r="G4" s="3" t="n">
        <v>2015</v>
      </c>
      <c r="H4" s="3" t="n">
        <v>2016</v>
      </c>
      <c r="I4" s="3" t="n">
        <v>2017</v>
      </c>
      <c r="J4" s="3" t="n">
        <v>2018</v>
      </c>
      <c r="K4" s="3" t="n">
        <v>2019</v>
      </c>
      <c r="L4" s="3" t="n">
        <v>2020</v>
      </c>
      <c r="M4" s="3" t="n">
        <v>2021</v>
      </c>
      <c r="N4" s="3" t="n">
        <v>2022</v>
      </c>
    </row>
    <row r="5" customFormat="false" ht="15" hidden="false" customHeight="false" outlineLevel="0" collapsed="false">
      <c r="A5" s="4" t="s">
        <v>3</v>
      </c>
      <c r="B5" s="5" t="n">
        <f aca="false">원자료!B28</f>
        <v>236339</v>
      </c>
      <c r="C5" s="5" t="n">
        <f aca="false">원자료!C28</f>
        <v>243440</v>
      </c>
      <c r="D5" s="5" t="n">
        <f aca="false">원자료!D28</f>
        <v>261870</v>
      </c>
      <c r="E5" s="5" t="n">
        <f aca="false">원자료!E28</f>
        <v>270458</v>
      </c>
      <c r="F5" s="5" t="n">
        <f aca="false">원자료!F28</f>
        <v>275464</v>
      </c>
      <c r="G5" s="5" t="n">
        <f aca="false">원자료!G28</f>
        <v>274132</v>
      </c>
      <c r="H5" s="5" t="n">
        <f aca="false">원자료!H28</f>
        <v>270231</v>
      </c>
      <c r="I5" s="5" t="n">
        <f aca="false">원자료!I28</f>
        <v>268100</v>
      </c>
      <c r="J5" s="5" t="n">
        <f aca="false">원자료!J28</f>
        <v>263157</v>
      </c>
      <c r="K5" s="5" t="n">
        <f aca="false">원자료!K28</f>
        <v>254538</v>
      </c>
      <c r="L5" s="5" t="n">
        <f aca="false">원자료!L28</f>
        <v>245863</v>
      </c>
      <c r="M5" s="5" t="n">
        <f aca="false">원자료!M28</f>
        <v>235682</v>
      </c>
      <c r="N5" s="5" t="n">
        <f aca="false">원자료!N28</f>
        <v>223628</v>
      </c>
    </row>
    <row r="6" customFormat="false" ht="15" hidden="false" customHeight="false" outlineLevel="0" collapsed="false">
      <c r="A6" s="4" t="s">
        <v>4</v>
      </c>
      <c r="B6" s="5" t="n">
        <f aca="false">원자료!B29</f>
        <v>79526</v>
      </c>
      <c r="C6" s="5" t="n">
        <f aca="false">원자료!C29</f>
        <v>80583</v>
      </c>
      <c r="D6" s="5" t="n">
        <f aca="false">원자료!D29</f>
        <v>84863</v>
      </c>
      <c r="E6" s="5" t="n">
        <f aca="false">원자료!E29</f>
        <v>87238</v>
      </c>
      <c r="F6" s="5" t="n">
        <f aca="false">원자료!F29</f>
        <v>89078</v>
      </c>
      <c r="G6" s="5" t="n">
        <f aca="false">원자료!G29</f>
        <v>90014</v>
      </c>
      <c r="H6" s="5" t="n">
        <f aca="false">원자료!H29</f>
        <v>89658</v>
      </c>
      <c r="I6" s="5" t="n">
        <f aca="false">원자료!I29</f>
        <v>89040</v>
      </c>
      <c r="J6" s="5" t="n">
        <f aca="false">원자료!J29</f>
        <v>88222</v>
      </c>
      <c r="K6" s="5" t="n">
        <f aca="false">원자료!K29</f>
        <v>86553</v>
      </c>
      <c r="L6" s="5" t="n">
        <f aca="false">원자료!L29</f>
        <v>84008</v>
      </c>
      <c r="M6" s="5" t="n">
        <f aca="false">원자료!M29</f>
        <v>80248</v>
      </c>
      <c r="N6" s="5" t="n">
        <f aca="false">원자료!N29</f>
        <v>76146</v>
      </c>
    </row>
    <row r="7" customFormat="false" ht="15" hidden="false" customHeight="false" outlineLevel="0" collapsed="false">
      <c r="A7" s="4" t="s">
        <v>5</v>
      </c>
      <c r="B7" s="5" t="n">
        <f aca="false">원자료!B30</f>
        <v>76276</v>
      </c>
      <c r="C7" s="5" t="n">
        <f aca="false">원자료!C30</f>
        <v>77218</v>
      </c>
      <c r="D7" s="5" t="n">
        <f aca="false">원자료!D30</f>
        <v>79769</v>
      </c>
      <c r="E7" s="5" t="n">
        <f aca="false">원자료!E30</f>
        <v>79638</v>
      </c>
      <c r="F7" s="5" t="n">
        <f aca="false">원자료!F30</f>
        <v>79274</v>
      </c>
      <c r="G7" s="5" t="n">
        <f aca="false">원자료!G30</f>
        <v>77547</v>
      </c>
      <c r="H7" s="5" t="n">
        <f aca="false">원자료!H30</f>
        <v>75255</v>
      </c>
      <c r="I7" s="5" t="n">
        <f aca="false">원자료!I30</f>
        <v>74696</v>
      </c>
      <c r="J7" s="5" t="n">
        <f aca="false">원자료!J30</f>
        <v>72500</v>
      </c>
      <c r="K7" s="5" t="n">
        <f aca="false">원자료!K30</f>
        <v>69390</v>
      </c>
      <c r="L7" s="5" t="n">
        <f aca="false">원자료!L30</f>
        <v>66727</v>
      </c>
      <c r="M7" s="5" t="n">
        <f aca="false">원자료!M30</f>
        <v>62125</v>
      </c>
      <c r="N7" s="5" t="n">
        <f aca="false">원자료!N30</f>
        <v>59434</v>
      </c>
    </row>
    <row r="8" customFormat="false" ht="15" hidden="false" customHeight="false" outlineLevel="0" collapsed="false">
      <c r="A8" s="4" t="s">
        <v>6</v>
      </c>
      <c r="B8" s="5" t="n">
        <f aca="false">원자료!B31</f>
        <v>75533</v>
      </c>
      <c r="C8" s="5" t="n">
        <f aca="false">원자료!C31</f>
        <v>82245</v>
      </c>
      <c r="D8" s="5" t="n">
        <f aca="false">원자료!D31</f>
        <v>88062</v>
      </c>
      <c r="E8" s="5" t="n">
        <f aca="false">원자료!E31</f>
        <v>92290</v>
      </c>
      <c r="F8" s="5" t="n">
        <f aca="false">원자료!F31</f>
        <v>94812</v>
      </c>
      <c r="G8" s="5" t="n">
        <f aca="false">원자료!G31</f>
        <v>94735</v>
      </c>
      <c r="H8" s="5" t="n">
        <f aca="false">원자료!H31</f>
        <v>94314</v>
      </c>
      <c r="I8" s="5" t="n">
        <f aca="false">원자료!I31</f>
        <v>93938</v>
      </c>
      <c r="J8" s="5" t="n">
        <f aca="false">원자료!J31</f>
        <v>93888</v>
      </c>
      <c r="K8" s="5" t="n">
        <f aca="false">원자료!K31</f>
        <v>91615</v>
      </c>
      <c r="L8" s="5" t="n">
        <f aca="false">원자료!L31</f>
        <v>88002</v>
      </c>
      <c r="M8" s="5" t="n">
        <f aca="false">원자료!M31</f>
        <v>84877</v>
      </c>
      <c r="N8" s="5" t="n">
        <f aca="false">원자료!N31</f>
        <v>80896</v>
      </c>
    </row>
    <row r="9" customFormat="false" ht="15" hidden="false" customHeight="false" outlineLevel="0" collapsed="false">
      <c r="A9" s="4" t="s">
        <v>7</v>
      </c>
      <c r="B9" s="5" t="n">
        <f aca="false">원자료!B32</f>
        <v>50719</v>
      </c>
      <c r="C9" s="5" t="n">
        <f aca="false">원자료!C32</f>
        <v>52812</v>
      </c>
      <c r="D9" s="5" t="n">
        <f aca="false">원자료!D32</f>
        <v>54343</v>
      </c>
      <c r="E9" s="5" t="n">
        <f aca="false">원자료!E32</f>
        <v>55106</v>
      </c>
      <c r="F9" s="5" t="n">
        <f aca="false">원자료!F32</f>
        <v>55553</v>
      </c>
      <c r="G9" s="5" t="n">
        <f aca="false">원자료!G32</f>
        <v>55635</v>
      </c>
      <c r="H9" s="5" t="n">
        <f aca="false">원자료!H32</f>
        <v>54514</v>
      </c>
      <c r="I9" s="5" t="n">
        <f aca="false">원자료!I32</f>
        <v>53688</v>
      </c>
      <c r="J9" s="5" t="n">
        <f aca="false">원자료!J32</f>
        <v>51025</v>
      </c>
      <c r="K9" s="5" t="n">
        <f aca="false">원자료!K32</f>
        <v>47923</v>
      </c>
      <c r="L9" s="5" t="n">
        <f aca="false">원자료!L32</f>
        <v>45160</v>
      </c>
      <c r="M9" s="5" t="n">
        <f aca="false">원자료!M32</f>
        <v>42171</v>
      </c>
      <c r="N9" s="5" t="n">
        <f aca="false">원자료!N32</f>
        <v>39145</v>
      </c>
    </row>
    <row r="10" customFormat="false" ht="15" hidden="false" customHeight="false" outlineLevel="0" collapsed="false">
      <c r="A10" s="4" t="s">
        <v>8</v>
      </c>
      <c r="B10" s="5" t="n">
        <f aca="false">원자료!B33</f>
        <v>33091</v>
      </c>
      <c r="C10" s="5" t="n">
        <f aca="false">원자료!C33</f>
        <v>35621</v>
      </c>
      <c r="D10" s="5" t="n">
        <f aca="false">원자료!D33</f>
        <v>38210</v>
      </c>
      <c r="E10" s="5" t="n">
        <f aca="false">원자료!E33</f>
        <v>39629</v>
      </c>
      <c r="F10" s="5" t="n">
        <f aca="false">원자료!F33</f>
        <v>40754</v>
      </c>
      <c r="G10" s="5" t="n">
        <f aca="false">원자료!G33</f>
        <v>40899</v>
      </c>
      <c r="H10" s="5" t="n">
        <f aca="false">원자료!H33</f>
        <v>40257</v>
      </c>
      <c r="I10" s="5" t="n">
        <f aca="false">원자료!I33</f>
        <v>40305</v>
      </c>
      <c r="J10" s="5" t="n">
        <f aca="false">원자료!J33</f>
        <v>39894</v>
      </c>
      <c r="K10" s="5" t="n">
        <f aca="false">원자료!K33</f>
        <v>39650</v>
      </c>
      <c r="L10" s="5" t="n">
        <f aca="false">원자료!L33</f>
        <v>37491</v>
      </c>
      <c r="M10" s="5" t="n">
        <f aca="false">원자료!M33</f>
        <v>34583</v>
      </c>
      <c r="N10" s="5" t="n">
        <f aca="false">원자료!N33</f>
        <v>31746</v>
      </c>
    </row>
    <row r="11" customFormat="false" ht="15" hidden="false" customHeight="false" outlineLevel="0" collapsed="false">
      <c r="A11" s="4" t="s">
        <v>9</v>
      </c>
      <c r="B11" s="5" t="n">
        <f aca="false">원자료!B34</f>
        <v>0</v>
      </c>
      <c r="C11" s="5" t="n">
        <f aca="false">원자료!C34</f>
        <v>0</v>
      </c>
      <c r="D11" s="5" t="n">
        <f aca="false">원자료!D34</f>
        <v>5558</v>
      </c>
      <c r="E11" s="5" t="n">
        <f aca="false">원자료!E34</f>
        <v>6321</v>
      </c>
      <c r="F11" s="5" t="n">
        <f aca="false">원자료!F34</f>
        <v>8407</v>
      </c>
      <c r="G11" s="5" t="n">
        <f aca="false">원자료!G34</f>
        <v>10913</v>
      </c>
      <c r="H11" s="5" t="n">
        <f aca="false">원자료!H34</f>
        <v>12587</v>
      </c>
      <c r="I11" s="5" t="n">
        <f aca="false">원자료!I34</f>
        <v>14658</v>
      </c>
      <c r="J11" s="5" t="n">
        <f aca="false">원자료!J34</f>
        <v>17687</v>
      </c>
      <c r="K11" s="5" t="n">
        <f aca="false">원자료!K34</f>
        <v>19300</v>
      </c>
      <c r="L11" s="5" t="n">
        <f aca="false">원자료!L34</f>
        <v>19532</v>
      </c>
      <c r="M11" s="5" t="n">
        <f aca="false">원자료!M34</f>
        <v>19497</v>
      </c>
      <c r="N11" s="5" t="n">
        <f aca="false">원자료!N34</f>
        <v>18789</v>
      </c>
    </row>
    <row r="12" customFormat="false" ht="15" hidden="false" customHeight="false" outlineLevel="0" collapsed="false">
      <c r="A12" s="4" t="s">
        <v>10</v>
      </c>
      <c r="B12" s="5" t="n">
        <f aca="false">원자료!B35</f>
        <v>387247</v>
      </c>
      <c r="C12" s="5" t="n">
        <f aca="false">원자료!C35</f>
        <v>409956</v>
      </c>
      <c r="D12" s="5" t="n">
        <f aca="false">원자료!D35</f>
        <v>447370</v>
      </c>
      <c r="E12" s="5" t="n">
        <f aca="false">원자료!E35</f>
        <v>472497</v>
      </c>
      <c r="F12" s="5" t="n">
        <f aca="false">원자료!F35</f>
        <v>479093</v>
      </c>
      <c r="G12" s="5" t="n">
        <f aca="false">원자료!G35</f>
        <v>474619</v>
      </c>
      <c r="H12" s="5" t="n">
        <f aca="false">원자료!H35</f>
        <v>467469</v>
      </c>
      <c r="I12" s="5" t="n">
        <f aca="false">원자료!I35</f>
        <v>466020</v>
      </c>
      <c r="J12" s="5" t="n">
        <f aca="false">원자료!J35</f>
        <v>467296</v>
      </c>
      <c r="K12" s="5" t="n">
        <f aca="false">원자료!K35</f>
        <v>464409</v>
      </c>
      <c r="L12" s="5" t="n">
        <f aca="false">원자료!L35</f>
        <v>455556</v>
      </c>
      <c r="M12" s="5" t="n">
        <f aca="false">원자료!M35</f>
        <v>441927</v>
      </c>
      <c r="N12" s="5" t="n">
        <f aca="false">원자료!N35</f>
        <v>424321</v>
      </c>
    </row>
    <row r="13" customFormat="false" ht="15" hidden="false" customHeight="false" outlineLevel="0" collapsed="false">
      <c r="A13" s="4" t="s">
        <v>11</v>
      </c>
      <c r="B13" s="5" t="n">
        <f aca="false">원자료!B36</f>
        <v>51927</v>
      </c>
      <c r="C13" s="5" t="n">
        <f aca="false">원자료!C36</f>
        <v>53498</v>
      </c>
      <c r="D13" s="5" t="n">
        <f aca="false">원자료!D36</f>
        <v>56259</v>
      </c>
      <c r="E13" s="5" t="n">
        <f aca="false">원자료!E36</f>
        <v>56846</v>
      </c>
      <c r="F13" s="5" t="n">
        <f aca="false">원자료!F36</f>
        <v>56446</v>
      </c>
      <c r="G13" s="5" t="n">
        <f aca="false">원자료!G36</f>
        <v>55718</v>
      </c>
      <c r="H13" s="5" t="n">
        <f aca="false">원자료!H36</f>
        <v>54408</v>
      </c>
      <c r="I13" s="5" t="n">
        <f aca="false">원자료!I36</f>
        <v>53468</v>
      </c>
      <c r="J13" s="5" t="n">
        <f aca="false">원자료!J36</f>
        <v>51285</v>
      </c>
      <c r="K13" s="5" t="n">
        <f aca="false">원자료!K36</f>
        <v>49912</v>
      </c>
      <c r="L13" s="5" t="n">
        <f aca="false">원자료!L36</f>
        <v>48591</v>
      </c>
      <c r="M13" s="5" t="n">
        <f aca="false">원자료!M36</f>
        <v>47021</v>
      </c>
      <c r="N13" s="5" t="n">
        <f aca="false">원자료!N36</f>
        <v>45475</v>
      </c>
    </row>
    <row r="14" customFormat="false" ht="15" hidden="false" customHeight="false" outlineLevel="0" collapsed="false">
      <c r="A14" s="4" t="s">
        <v>12</v>
      </c>
      <c r="B14" s="5" t="n">
        <f aca="false">원자료!B37</f>
        <v>58275</v>
      </c>
      <c r="C14" s="5" t="n">
        <f aca="false">원자료!C37</f>
        <v>59175</v>
      </c>
      <c r="D14" s="5" t="n">
        <f aca="false">원자료!D37</f>
        <v>61590</v>
      </c>
      <c r="E14" s="5" t="n">
        <f aca="false">원자료!E37</f>
        <v>62739</v>
      </c>
      <c r="F14" s="5" t="n">
        <f aca="false">원자료!F37</f>
        <v>63214</v>
      </c>
      <c r="G14" s="5" t="n">
        <f aca="false">원자료!G37</f>
        <v>63601</v>
      </c>
      <c r="H14" s="5" t="n">
        <f aca="false">원자료!H37</f>
        <v>63108</v>
      </c>
      <c r="I14" s="5" t="n">
        <f aca="false">원자료!I37</f>
        <v>62582</v>
      </c>
      <c r="J14" s="5" t="n">
        <f aca="false">원자료!J37</f>
        <v>61211</v>
      </c>
      <c r="K14" s="5" t="n">
        <f aca="false">원자료!K37</f>
        <v>60113</v>
      </c>
      <c r="L14" s="5" t="n">
        <f aca="false">원자료!L37</f>
        <v>58541</v>
      </c>
      <c r="M14" s="5" t="n">
        <f aca="false">원자료!M37</f>
        <v>57092</v>
      </c>
      <c r="N14" s="5" t="n">
        <f aca="false">원자료!N37</f>
        <v>54338</v>
      </c>
    </row>
    <row r="15" customFormat="false" ht="15" hidden="false" customHeight="false" outlineLevel="0" collapsed="false">
      <c r="A15" s="4" t="s">
        <v>13</v>
      </c>
      <c r="B15" s="5" t="n">
        <f aca="false">원자료!B38</f>
        <v>71851</v>
      </c>
      <c r="C15" s="5" t="n">
        <f aca="false">원자료!C38</f>
        <v>78245</v>
      </c>
      <c r="D15" s="5" t="n">
        <f aca="false">원자료!D38</f>
        <v>81169</v>
      </c>
      <c r="E15" s="5" t="n">
        <f aca="false">원자료!E38</f>
        <v>88126</v>
      </c>
      <c r="F15" s="5" t="n">
        <f aca="false">원자료!F38</f>
        <v>87915</v>
      </c>
      <c r="G15" s="5" t="n">
        <f aca="false">원자료!G38</f>
        <v>87524</v>
      </c>
      <c r="H15" s="5" t="n">
        <f aca="false">원자료!H38</f>
        <v>87635</v>
      </c>
      <c r="I15" s="5" t="n">
        <f aca="false">원자료!I38</f>
        <v>87488</v>
      </c>
      <c r="J15" s="5" t="n">
        <f aca="false">원자료!J38</f>
        <v>86149</v>
      </c>
      <c r="K15" s="5" t="n">
        <f aca="false">원자료!K38</f>
        <v>82697</v>
      </c>
      <c r="L15" s="5" t="n">
        <f aca="false">원자료!L38</f>
        <v>79979</v>
      </c>
      <c r="M15" s="5" t="n">
        <f aca="false">원자료!M38</f>
        <v>76555</v>
      </c>
      <c r="N15" s="5" t="n">
        <f aca="false">원자료!N38</f>
        <v>72870</v>
      </c>
    </row>
    <row r="16" customFormat="false" ht="15" hidden="false" customHeight="false" outlineLevel="0" collapsed="false">
      <c r="A16" s="4" t="s">
        <v>14</v>
      </c>
      <c r="B16" s="5" t="n">
        <f aca="false">원자료!B39</f>
        <v>72750</v>
      </c>
      <c r="C16" s="5" t="n">
        <f aca="false">원자료!C39</f>
        <v>72700</v>
      </c>
      <c r="D16" s="5" t="n">
        <f aca="false">원자료!D39</f>
        <v>74226</v>
      </c>
      <c r="E16" s="5" t="n">
        <f aca="false">원자료!E39</f>
        <v>75181</v>
      </c>
      <c r="F16" s="5" t="n">
        <f aca="false">원자료!F39</f>
        <v>75275</v>
      </c>
      <c r="G16" s="5" t="n">
        <f aca="false">원자료!G39</f>
        <v>73738</v>
      </c>
      <c r="H16" s="5" t="n">
        <f aca="false">원자료!H39</f>
        <v>71946</v>
      </c>
      <c r="I16" s="5" t="n">
        <f aca="false">원자료!I39</f>
        <v>69650</v>
      </c>
      <c r="J16" s="5" t="n">
        <f aca="false">원자료!J39</f>
        <v>66016</v>
      </c>
      <c r="K16" s="5" t="n">
        <f aca="false">원자료!K39</f>
        <v>62327</v>
      </c>
      <c r="L16" s="5" t="n">
        <f aca="false">원자료!L39</f>
        <v>59314</v>
      </c>
      <c r="M16" s="5" t="n">
        <f aca="false">원자료!M39</f>
        <v>55361</v>
      </c>
      <c r="N16" s="5" t="n">
        <f aca="false">원자료!N39</f>
        <v>51748</v>
      </c>
    </row>
    <row r="17" customFormat="false" ht="15" hidden="false" customHeight="false" outlineLevel="0" collapsed="false">
      <c r="A17" s="4" t="s">
        <v>15</v>
      </c>
      <c r="B17" s="5" t="n">
        <f aca="false">원자료!B40</f>
        <v>88960</v>
      </c>
      <c r="C17" s="5" t="n">
        <f aca="false">원자료!C40</f>
        <v>93839</v>
      </c>
      <c r="D17" s="5" t="n">
        <f aca="false">원자료!D40</f>
        <v>96368</v>
      </c>
      <c r="E17" s="5" t="n">
        <f aca="false">원자료!E40</f>
        <v>97889</v>
      </c>
      <c r="F17" s="5" t="n">
        <f aca="false">원자료!F40</f>
        <v>95612</v>
      </c>
      <c r="G17" s="5" t="n">
        <f aca="false">원자료!G40</f>
        <v>93978</v>
      </c>
      <c r="H17" s="5" t="n">
        <f aca="false">원자료!H40</f>
        <v>93950</v>
      </c>
      <c r="I17" s="5" t="n">
        <f aca="false">원자료!I40</f>
        <v>92669</v>
      </c>
      <c r="J17" s="5" t="n">
        <f aca="false">원자료!J40</f>
        <v>89483</v>
      </c>
      <c r="K17" s="5" t="n">
        <f aca="false">원자료!K40</f>
        <v>85567</v>
      </c>
      <c r="L17" s="5" t="n">
        <f aca="false">원자료!L40</f>
        <v>81541</v>
      </c>
      <c r="M17" s="5" t="n">
        <f aca="false">원자료!M40</f>
        <v>77622</v>
      </c>
      <c r="N17" s="5" t="n">
        <f aca="false">원자료!N40</f>
        <v>72231</v>
      </c>
    </row>
    <row r="18" customFormat="false" ht="15" hidden="false" customHeight="false" outlineLevel="0" collapsed="false">
      <c r="A18" s="4" t="s">
        <v>16</v>
      </c>
      <c r="B18" s="5" t="n">
        <f aca="false">원자료!B41</f>
        <v>118204</v>
      </c>
      <c r="C18" s="5" t="n">
        <f aca="false">원자료!C41</f>
        <v>124478</v>
      </c>
      <c r="D18" s="5" t="n">
        <f aca="false">원자료!D41</f>
        <v>129308</v>
      </c>
      <c r="E18" s="5" t="n">
        <f aca="false">원자료!E41</f>
        <v>132963</v>
      </c>
      <c r="F18" s="5" t="n">
        <f aca="false">원자료!F41</f>
        <v>133204</v>
      </c>
      <c r="G18" s="5" t="n">
        <f aca="false">원자료!G41</f>
        <v>130665</v>
      </c>
      <c r="H18" s="5" t="n">
        <f aca="false">원자료!H41</f>
        <v>127325</v>
      </c>
      <c r="I18" s="5" t="n">
        <f aca="false">원자료!I41</f>
        <v>126361</v>
      </c>
      <c r="J18" s="5" t="n">
        <f aca="false">원자료!J41</f>
        <v>125015</v>
      </c>
      <c r="K18" s="5" t="n">
        <f aca="false">원자료!K41</f>
        <v>119534</v>
      </c>
      <c r="L18" s="5" t="n">
        <f aca="false">원자료!L41</f>
        <v>112049</v>
      </c>
      <c r="M18" s="5" t="n">
        <f aca="false">원자료!M41</f>
        <v>105786</v>
      </c>
      <c r="N18" s="5" t="n">
        <f aca="false">원자료!N41</f>
        <v>96773</v>
      </c>
    </row>
    <row r="19" customFormat="false" ht="15" hidden="false" customHeight="false" outlineLevel="0" collapsed="false">
      <c r="A19" s="4" t="s">
        <v>17</v>
      </c>
      <c r="B19" s="5" t="n">
        <f aca="false">원자료!B42</f>
        <v>29210</v>
      </c>
      <c r="C19" s="5" t="n">
        <f aca="false">원자료!C42</f>
        <v>30540</v>
      </c>
      <c r="D19" s="5" t="n">
        <f aca="false">원자료!D42</f>
        <v>32326</v>
      </c>
      <c r="E19" s="5" t="n">
        <f aca="false">원자료!E42</f>
        <v>33185</v>
      </c>
      <c r="F19" s="5" t="n">
        <f aca="false">원자료!F42</f>
        <v>33009</v>
      </c>
      <c r="G19" s="5" t="n">
        <f aca="false">원자료!G42</f>
        <v>32830</v>
      </c>
      <c r="H19" s="5" t="n">
        <f aca="false">원자료!H42</f>
        <v>31176</v>
      </c>
      <c r="I19" s="5" t="n">
        <f aca="false">원자료!I42</f>
        <v>30531</v>
      </c>
      <c r="J19" s="5" t="n">
        <f aca="false">원자료!J42</f>
        <v>29950</v>
      </c>
      <c r="K19" s="5" t="n">
        <f aca="false">원자료!K42</f>
        <v>29588</v>
      </c>
      <c r="L19" s="5" t="n">
        <f aca="false">원자료!L42</f>
        <v>29017</v>
      </c>
      <c r="M19" s="5" t="n">
        <f aca="false">원자료!M42</f>
        <v>27724</v>
      </c>
      <c r="N19" s="5" t="n">
        <f aca="false">원자료!N42</f>
        <v>26568</v>
      </c>
    </row>
    <row r="20" customFormat="false" ht="17.15" hidden="false" customHeight="false" outlineLevel="0" collapsed="false">
      <c r="A20" s="4" t="s">
        <v>18</v>
      </c>
      <c r="B20" s="5" t="n">
        <f aca="false">원자료!B45</f>
        <v>126900</v>
      </c>
      <c r="C20" s="5" t="n">
        <f aca="false">원자료!C45</f>
        <v>127598</v>
      </c>
      <c r="D20" s="5" t="n">
        <f aca="false">원자료!D45</f>
        <v>130626</v>
      </c>
      <c r="E20" s="5" t="n">
        <f aca="false">원자료!E45</f>
        <v>132353</v>
      </c>
      <c r="F20" s="5" t="n">
        <f aca="false">원자료!F45</f>
        <v>133549</v>
      </c>
      <c r="G20" s="5" t="n">
        <f aca="false">원자료!G45</f>
        <v>134273</v>
      </c>
      <c r="H20" s="5" t="n">
        <f aca="false">원자료!H45</f>
        <v>133391</v>
      </c>
      <c r="I20" s="5" t="n">
        <f aca="false">원자료!I45</f>
        <v>133409</v>
      </c>
      <c r="J20" s="5" t="n">
        <f aca="false">원자료!J45</f>
        <v>129546</v>
      </c>
      <c r="K20" s="5" t="n">
        <f aca="false">원자료!K45</f>
        <v>123757</v>
      </c>
      <c r="L20" s="5" t="n">
        <f aca="false">원자료!L45</f>
        <v>116889</v>
      </c>
      <c r="M20" s="5" t="n">
        <f aca="false">원자료!M45</f>
        <v>109225</v>
      </c>
      <c r="N20" s="5" t="n">
        <f aca="false">원자료!N45</f>
        <v>102578</v>
      </c>
    </row>
    <row r="21" customFormat="false" ht="17.15" hidden="false" customHeight="false" outlineLevel="0" collapsed="false">
      <c r="A21" s="6" t="s">
        <v>19</v>
      </c>
      <c r="B21" s="7" t="n">
        <f aca="false">SUM(B5:B20)</f>
        <v>1556808</v>
      </c>
      <c r="C21" s="7" t="n">
        <f aca="false">SUM(C5:C20)</f>
        <v>1621948</v>
      </c>
      <c r="D21" s="7" t="n">
        <f aca="false">SUM(D5:D20)</f>
        <v>1721917</v>
      </c>
      <c r="E21" s="7" t="n">
        <f aca="false">SUM(E5:E20)</f>
        <v>1782459</v>
      </c>
      <c r="F21" s="7" t="n">
        <f aca="false">SUM(F5:F20)</f>
        <v>1800659</v>
      </c>
      <c r="G21" s="7" t="n">
        <f aca="false">SUM(G5:G20)</f>
        <v>1790821</v>
      </c>
      <c r="H21" s="7" t="n">
        <f aca="false">SUM(H5:H20)</f>
        <v>1767224</v>
      </c>
      <c r="I21" s="7" t="n">
        <f aca="false">SUM(I5:I20)</f>
        <v>1756603</v>
      </c>
      <c r="J21" s="7" t="n">
        <f aca="false">SUM(J5:J20)</f>
        <v>1732324</v>
      </c>
      <c r="K21" s="7" t="n">
        <f aca="false">SUM(K5:K20)</f>
        <v>1686873</v>
      </c>
      <c r="L21" s="7" t="n">
        <f aca="false">SUM(L5:L20)</f>
        <v>1628260</v>
      </c>
      <c r="M21" s="7" t="n">
        <f aca="false">SUM(M5:M20)</f>
        <v>1557496</v>
      </c>
      <c r="N21" s="7" t="n">
        <f aca="false">SUM(N5:N20)</f>
        <v>1476686</v>
      </c>
    </row>
    <row r="22" customFormat="false" ht="17.15" hidden="false" customHeight="false" outlineLevel="0" collapsed="false">
      <c r="A22" s="8" t="s">
        <v>20</v>
      </c>
      <c r="B22" s="5" t="n">
        <f aca="false">원자료!B46</f>
        <v>1556808</v>
      </c>
      <c r="C22" s="5" t="n">
        <f aca="false">원자료!C46</f>
        <v>1621948</v>
      </c>
      <c r="D22" s="5" t="n">
        <f aca="false">원자료!D46</f>
        <v>1721917</v>
      </c>
      <c r="E22" s="5" t="n">
        <f aca="false">원자료!E46</f>
        <v>1782459</v>
      </c>
      <c r="F22" s="5" t="n">
        <f aca="false">원자료!F46</f>
        <v>1800659</v>
      </c>
      <c r="G22" s="5" t="n">
        <f aca="false">원자료!G46</f>
        <v>1790821</v>
      </c>
      <c r="H22" s="5" t="n">
        <f aca="false">원자료!H46</f>
        <v>1767224</v>
      </c>
      <c r="I22" s="5" t="n">
        <f aca="false">원자료!I46</f>
        <v>1756603</v>
      </c>
      <c r="J22" s="5" t="n">
        <f aca="false">원자료!J46</f>
        <v>1732324</v>
      </c>
      <c r="K22" s="5" t="n">
        <f aca="false">원자료!K46</f>
        <v>1686873</v>
      </c>
      <c r="L22" s="5" t="n">
        <f aca="false">원자료!L46</f>
        <v>1628260</v>
      </c>
      <c r="M22" s="5" t="n">
        <f aca="false">원자료!M46</f>
        <v>1557496</v>
      </c>
      <c r="N22" s="5" t="n">
        <f aca="false">원자료!N46</f>
        <v>1476686</v>
      </c>
    </row>
    <row r="23" customFormat="false" ht="17.15" hidden="false" customHeight="false" outlineLevel="0" collapsed="false">
      <c r="A23" s="9" t="s">
        <v>21</v>
      </c>
      <c r="B23" s="10" t="n">
        <f aca="false">B21-B22</f>
        <v>0</v>
      </c>
      <c r="C23" s="10" t="n">
        <f aca="false">C21-C22</f>
        <v>0</v>
      </c>
      <c r="D23" s="10" t="n">
        <f aca="false">D21-D22</f>
        <v>0</v>
      </c>
      <c r="E23" s="10" t="n">
        <f aca="false">E21-E22</f>
        <v>0</v>
      </c>
      <c r="F23" s="10" t="n">
        <f aca="false">F21-F22</f>
        <v>0</v>
      </c>
      <c r="G23" s="10" t="n">
        <f aca="false">G21-G22</f>
        <v>0</v>
      </c>
      <c r="H23" s="10" t="n">
        <f aca="false">H21-H22</f>
        <v>0</v>
      </c>
      <c r="I23" s="10" t="n">
        <f aca="false">I21-I22</f>
        <v>0</v>
      </c>
      <c r="J23" s="10" t="n">
        <f aca="false">J21-J22</f>
        <v>0</v>
      </c>
      <c r="K23" s="10" t="n">
        <f aca="false">K21-K22</f>
        <v>0</v>
      </c>
      <c r="L23" s="10" t="n">
        <f aca="false">L21-L22</f>
        <v>0</v>
      </c>
      <c r="M23" s="10" t="n">
        <f aca="false">M21-M22</f>
        <v>0</v>
      </c>
      <c r="N23" s="10" t="n">
        <f aca="false">N21-N22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14" min="2" style="0" width="11"/>
  </cols>
  <sheetData>
    <row r="1" customFormat="false" ht="21.6" hidden="false" customHeight="false" outlineLevel="0" collapsed="false">
      <c r="A1" s="1" t="s">
        <v>24</v>
      </c>
    </row>
    <row r="2" customFormat="false" ht="15" hidden="false" customHeight="false" outlineLevel="0" collapsed="false">
      <c r="A2" s="11" t="s">
        <v>25</v>
      </c>
    </row>
    <row r="4" customFormat="false" ht="15" hidden="false" customHeight="false" outlineLevel="0" collapsed="false">
      <c r="A4" s="3" t="s">
        <v>2</v>
      </c>
      <c r="B4" s="3" t="n">
        <v>2010</v>
      </c>
      <c r="C4" s="3" t="n">
        <v>2011</v>
      </c>
      <c r="D4" s="3" t="n">
        <v>2012</v>
      </c>
      <c r="E4" s="3" t="n">
        <v>2013</v>
      </c>
      <c r="F4" s="3" t="n">
        <v>2014</v>
      </c>
      <c r="G4" s="3" t="n">
        <v>2015</v>
      </c>
      <c r="H4" s="3" t="n">
        <v>2016</v>
      </c>
      <c r="I4" s="3" t="n">
        <v>2017</v>
      </c>
      <c r="J4" s="3" t="n">
        <v>2018</v>
      </c>
      <c r="K4" s="3" t="n">
        <v>2019</v>
      </c>
      <c r="L4" s="3" t="n">
        <v>2020</v>
      </c>
      <c r="M4" s="3" t="n">
        <v>2021</v>
      </c>
      <c r="N4" s="3" t="n">
        <v>2022</v>
      </c>
    </row>
    <row r="5" customFormat="false" ht="15" hidden="false" customHeight="false" outlineLevel="0" collapsed="false">
      <c r="A5" s="4" t="s">
        <v>3</v>
      </c>
      <c r="B5" s="5" t="n">
        <f aca="false">원자료!B51</f>
        <v>206581</v>
      </c>
      <c r="C5" s="5" t="n">
        <f aca="false">원자료!C51</f>
        <v>214863</v>
      </c>
      <c r="D5" s="5" t="n">
        <f aca="false">원자료!D51</f>
        <v>239335</v>
      </c>
      <c r="E5" s="5" t="n">
        <f aca="false">원자료!E51</f>
        <v>242648</v>
      </c>
      <c r="F5" s="5" t="n">
        <f aca="false">원자료!F51</f>
        <v>243432</v>
      </c>
      <c r="G5" s="5" t="n">
        <f aca="false">원자료!G51</f>
        <v>238103</v>
      </c>
      <c r="H5" s="5" t="n">
        <f aca="false">원자료!H51</f>
        <v>236550</v>
      </c>
      <c r="I5" s="5" t="n">
        <f aca="false">원자료!I51</f>
        <v>234867</v>
      </c>
      <c r="J5" s="5" t="n">
        <f aca="false">원자료!J51</f>
        <v>226959</v>
      </c>
      <c r="K5" s="5" t="n">
        <f aca="false">원자료!K51</f>
        <v>217444</v>
      </c>
      <c r="L5" s="5" t="n">
        <f aca="false">원자료!L51</f>
        <v>196260</v>
      </c>
      <c r="M5" s="5" t="n">
        <f aca="false">원자료!M51</f>
        <v>182922</v>
      </c>
      <c r="N5" s="5" t="n">
        <f aca="false">원자료!N51</f>
        <v>167427</v>
      </c>
    </row>
    <row r="6" customFormat="false" ht="15" hidden="false" customHeight="false" outlineLevel="0" collapsed="false">
      <c r="A6" s="4" t="s">
        <v>4</v>
      </c>
      <c r="B6" s="5" t="n">
        <f aca="false">원자료!B52</f>
        <v>65822</v>
      </c>
      <c r="C6" s="5" t="n">
        <f aca="false">원자료!C52</f>
        <v>68050</v>
      </c>
      <c r="D6" s="5" t="n">
        <f aca="false">원자료!D52</f>
        <v>73991</v>
      </c>
      <c r="E6" s="5" t="n">
        <f aca="false">원자료!E52</f>
        <v>74317</v>
      </c>
      <c r="F6" s="5" t="n">
        <f aca="false">원자료!F52</f>
        <v>75407</v>
      </c>
      <c r="G6" s="5" t="n">
        <f aca="false">원자료!G52</f>
        <v>74003</v>
      </c>
      <c r="H6" s="5" t="n">
        <f aca="false">원자료!H52</f>
        <v>75006</v>
      </c>
      <c r="I6" s="5" t="n">
        <f aca="false">원자료!I52</f>
        <v>74971</v>
      </c>
      <c r="J6" s="5" t="n">
        <f aca="false">원자료!J52</f>
        <v>73586</v>
      </c>
      <c r="K6" s="5" t="n">
        <f aca="false">원자료!K52</f>
        <v>70977</v>
      </c>
      <c r="L6" s="5" t="n">
        <f aca="false">원자료!L52</f>
        <v>65290</v>
      </c>
      <c r="M6" s="5" t="n">
        <f aca="false">원자료!M52</f>
        <v>61611</v>
      </c>
      <c r="N6" s="5" t="n">
        <f aca="false">원자료!N52</f>
        <v>55850</v>
      </c>
    </row>
    <row r="7" customFormat="false" ht="15" hidden="false" customHeight="false" outlineLevel="0" collapsed="false">
      <c r="A7" s="4" t="s">
        <v>5</v>
      </c>
      <c r="B7" s="5" t="n">
        <f aca="false">원자료!B53</f>
        <v>61765</v>
      </c>
      <c r="C7" s="5" t="n">
        <f aca="false">원자료!C53</f>
        <v>63118</v>
      </c>
      <c r="D7" s="5" t="n">
        <f aca="false">원자료!D53</f>
        <v>66795</v>
      </c>
      <c r="E7" s="5" t="n">
        <f aca="false">원자료!E53</f>
        <v>63505</v>
      </c>
      <c r="F7" s="5" t="n">
        <f aca="false">원자료!F53</f>
        <v>62824</v>
      </c>
      <c r="G7" s="5" t="n">
        <f aca="false">원자료!G53</f>
        <v>59449</v>
      </c>
      <c r="H7" s="5" t="n">
        <f aca="false">원자료!H53</f>
        <v>58706</v>
      </c>
      <c r="I7" s="5" t="n">
        <f aca="false">원자료!I53</f>
        <v>58591</v>
      </c>
      <c r="J7" s="5" t="n">
        <f aca="false">원자료!J53</f>
        <v>56943</v>
      </c>
      <c r="K7" s="5" t="n">
        <f aca="false">원자료!K53</f>
        <v>54641</v>
      </c>
      <c r="L7" s="5" t="n">
        <f aca="false">원자료!L53</f>
        <v>49029</v>
      </c>
      <c r="M7" s="5" t="n">
        <f aca="false">원자료!M53</f>
        <v>46211</v>
      </c>
      <c r="N7" s="5" t="n">
        <f aca="false">원자료!N53</f>
        <v>42487</v>
      </c>
    </row>
    <row r="8" customFormat="false" ht="15" hidden="false" customHeight="false" outlineLevel="0" collapsed="false">
      <c r="A8" s="4" t="s">
        <v>6</v>
      </c>
      <c r="B8" s="5" t="n">
        <f aca="false">원자료!B54</f>
        <v>65075</v>
      </c>
      <c r="C8" s="5" t="n">
        <f aca="false">원자료!C54</f>
        <v>71381</v>
      </c>
      <c r="D8" s="5" t="n">
        <f aca="false">원자료!D54</f>
        <v>79751</v>
      </c>
      <c r="E8" s="5" t="n">
        <f aca="false">원자료!E54</f>
        <v>81796</v>
      </c>
      <c r="F8" s="5" t="n">
        <f aca="false">원자료!F54</f>
        <v>83731</v>
      </c>
      <c r="G8" s="5" t="n">
        <f aca="false">원자료!G54</f>
        <v>81353</v>
      </c>
      <c r="H8" s="5" t="n">
        <f aca="false">원자료!H54</f>
        <v>81096</v>
      </c>
      <c r="I8" s="5" t="n">
        <f aca="false">원자료!I54</f>
        <v>80895</v>
      </c>
      <c r="J8" s="5" t="n">
        <f aca="false">원자료!J54</f>
        <v>79164</v>
      </c>
      <c r="K8" s="5" t="n">
        <f aca="false">원자료!K54</f>
        <v>76084</v>
      </c>
      <c r="L8" s="5" t="n">
        <f aca="false">원자료!L54</f>
        <v>68106</v>
      </c>
      <c r="M8" s="5" t="n">
        <f aca="false">원자료!M54</f>
        <v>65663</v>
      </c>
      <c r="N8" s="5" t="n">
        <f aca="false">원자료!N54</f>
        <v>62200</v>
      </c>
    </row>
    <row r="9" customFormat="false" ht="15" hidden="false" customHeight="false" outlineLevel="0" collapsed="false">
      <c r="A9" s="4" t="s">
        <v>7</v>
      </c>
      <c r="B9" s="5" t="n">
        <f aca="false">원자료!B55</f>
        <v>42105</v>
      </c>
      <c r="C9" s="5" t="n">
        <f aca="false">원자료!C55</f>
        <v>44573</v>
      </c>
      <c r="D9" s="5" t="n">
        <f aca="false">원자료!D55</f>
        <v>48432</v>
      </c>
      <c r="E9" s="5" t="n">
        <f aca="false">원자료!E55</f>
        <v>47163</v>
      </c>
      <c r="F9" s="5" t="n">
        <f aca="false">원자료!F55</f>
        <v>46859</v>
      </c>
      <c r="G9" s="5" t="n">
        <f aca="false">원자료!G55</f>
        <v>44691</v>
      </c>
      <c r="H9" s="5" t="n">
        <f aca="false">원자료!H55</f>
        <v>44482</v>
      </c>
      <c r="I9" s="5" t="n">
        <f aca="false">원자료!I55</f>
        <v>43761</v>
      </c>
      <c r="J9" s="5" t="n">
        <f aca="false">원자료!J55</f>
        <v>41553</v>
      </c>
      <c r="K9" s="5" t="n">
        <f aca="false">원자료!K55</f>
        <v>38526</v>
      </c>
      <c r="L9" s="5" t="n">
        <f aca="false">원자료!L55</f>
        <v>34037</v>
      </c>
      <c r="M9" s="5" t="n">
        <f aca="false">원자료!M55</f>
        <v>31177</v>
      </c>
      <c r="N9" s="5" t="n">
        <f aca="false">원자료!N55</f>
        <v>28144</v>
      </c>
    </row>
    <row r="10" customFormat="false" ht="15" hidden="false" customHeight="false" outlineLevel="0" collapsed="false">
      <c r="A10" s="4" t="s">
        <v>8</v>
      </c>
      <c r="B10" s="5" t="n">
        <f aca="false">원자료!B56</f>
        <v>27350</v>
      </c>
      <c r="C10" s="5" t="n">
        <f aca="false">원자료!C56</f>
        <v>29976</v>
      </c>
      <c r="D10" s="5" t="n">
        <f aca="false">원자료!D56</f>
        <v>33800</v>
      </c>
      <c r="E10" s="5" t="n">
        <f aca="false">원자료!E56</f>
        <v>34269</v>
      </c>
      <c r="F10" s="5" t="n">
        <f aca="false">원자료!F56</f>
        <v>35383</v>
      </c>
      <c r="G10" s="5" t="n">
        <f aca="false">원자료!G56</f>
        <v>34676</v>
      </c>
      <c r="H10" s="5" t="n">
        <f aca="false">원자료!H56</f>
        <v>34762</v>
      </c>
      <c r="I10" s="5" t="n">
        <f aca="false">원자료!I56</f>
        <v>34657</v>
      </c>
      <c r="J10" s="5" t="n">
        <f aca="false">원자료!J56</f>
        <v>34436</v>
      </c>
      <c r="K10" s="5" t="n">
        <f aca="false">원자료!K56</f>
        <v>33315</v>
      </c>
      <c r="L10" s="5" t="n">
        <f aca="false">원자료!L56</f>
        <v>29805</v>
      </c>
      <c r="M10" s="5" t="n">
        <f aca="false">원자료!M56</f>
        <v>27328</v>
      </c>
      <c r="N10" s="5" t="n">
        <f aca="false">원자료!N56</f>
        <v>24892</v>
      </c>
    </row>
    <row r="11" customFormat="false" ht="15" hidden="false" customHeight="false" outlineLevel="0" collapsed="false">
      <c r="A11" s="4" t="s">
        <v>9</v>
      </c>
      <c r="B11" s="5" t="n">
        <f aca="false">원자료!B57</f>
        <v>0</v>
      </c>
      <c r="C11" s="5" t="n">
        <f aca="false">원자료!C57</f>
        <v>0</v>
      </c>
      <c r="D11" s="5" t="n">
        <f aca="false">원자료!D57</f>
        <v>4547</v>
      </c>
      <c r="E11" s="5" t="n">
        <f aca="false">원자료!E57</f>
        <v>5158</v>
      </c>
      <c r="F11" s="5" t="n">
        <f aca="false">원자료!F57</f>
        <v>6405</v>
      </c>
      <c r="G11" s="5" t="n">
        <f aca="false">원자료!G57</f>
        <v>8723</v>
      </c>
      <c r="H11" s="5" t="n">
        <f aca="false">원자료!H57</f>
        <v>10846</v>
      </c>
      <c r="I11" s="5" t="n">
        <f aca="false">원자료!I57</f>
        <v>12580</v>
      </c>
      <c r="J11" s="5" t="n">
        <f aca="false">원자료!J57</f>
        <v>14298</v>
      </c>
      <c r="K11" s="5" t="n">
        <f aca="false">원자료!K57</f>
        <v>15525</v>
      </c>
      <c r="L11" s="5" t="n">
        <f aca="false">원자료!L57</f>
        <v>15349</v>
      </c>
      <c r="M11" s="5" t="n">
        <f aca="false">원자료!M57</f>
        <v>15248</v>
      </c>
      <c r="N11" s="5" t="n">
        <f aca="false">원자료!N57</f>
        <v>14927</v>
      </c>
    </row>
    <row r="12" customFormat="false" ht="15" hidden="false" customHeight="false" outlineLevel="0" collapsed="false">
      <c r="A12" s="4" t="s">
        <v>10</v>
      </c>
      <c r="B12" s="5" t="n">
        <f aca="false">원자료!B58</f>
        <v>320056</v>
      </c>
      <c r="C12" s="5" t="n">
        <f aca="false">원자료!C58</f>
        <v>344326</v>
      </c>
      <c r="D12" s="5" t="n">
        <f aca="false">원자료!D58</f>
        <v>392515</v>
      </c>
      <c r="E12" s="5" t="n">
        <f aca="false">원자료!E58</f>
        <v>397656</v>
      </c>
      <c r="F12" s="5" t="n">
        <f aca="false">원자료!F58</f>
        <v>402945</v>
      </c>
      <c r="G12" s="5" t="n">
        <f aca="false">원자료!G58</f>
        <v>389398</v>
      </c>
      <c r="H12" s="5" t="n">
        <f aca="false">원자료!H58</f>
        <v>390870</v>
      </c>
      <c r="I12" s="5" t="n">
        <f aca="false">원자료!I58</f>
        <v>394882</v>
      </c>
      <c r="J12" s="5" t="n">
        <f aca="false">원자료!J58</f>
        <v>393149</v>
      </c>
      <c r="K12" s="5" t="n">
        <f aca="false">원자료!K58</f>
        <v>389004</v>
      </c>
      <c r="L12" s="5" t="n">
        <f aca="false">원자료!L58</f>
        <v>358813</v>
      </c>
      <c r="M12" s="5" t="n">
        <f aca="false">원자료!M58</f>
        <v>350117</v>
      </c>
      <c r="N12" s="5" t="n">
        <f aca="false">원자료!N58</f>
        <v>331516</v>
      </c>
    </row>
    <row r="13" customFormat="false" ht="15" hidden="false" customHeight="false" outlineLevel="0" collapsed="false">
      <c r="A13" s="4" t="s">
        <v>11</v>
      </c>
      <c r="B13" s="5" t="n">
        <f aca="false">원자료!B59</f>
        <v>41292</v>
      </c>
      <c r="C13" s="5" t="n">
        <f aca="false">원자료!C59</f>
        <v>42996</v>
      </c>
      <c r="D13" s="5" t="n">
        <f aca="false">원자료!D59</f>
        <v>46007</v>
      </c>
      <c r="E13" s="5" t="n">
        <f aca="false">원자료!E59</f>
        <v>45113</v>
      </c>
      <c r="F13" s="5" t="n">
        <f aca="false">원자료!F59</f>
        <v>44280</v>
      </c>
      <c r="G13" s="5" t="n">
        <f aca="false">원자료!G59</f>
        <v>42238</v>
      </c>
      <c r="H13" s="5" t="n">
        <f aca="false">원자료!H59</f>
        <v>41743</v>
      </c>
      <c r="I13" s="5" t="n">
        <f aca="false">원자료!I59</f>
        <v>41020</v>
      </c>
      <c r="J13" s="5" t="n">
        <f aca="false">원자료!J59</f>
        <v>39337</v>
      </c>
      <c r="K13" s="5" t="n">
        <f aca="false">원자료!K59</f>
        <v>37902</v>
      </c>
      <c r="L13" s="5" t="n">
        <f aca="false">원자료!L59</f>
        <v>35406</v>
      </c>
      <c r="M13" s="5" t="n">
        <f aca="false">원자료!M59</f>
        <v>34622</v>
      </c>
      <c r="N13" s="5" t="n">
        <f aca="false">원자료!N59</f>
        <v>32680</v>
      </c>
    </row>
    <row r="14" customFormat="false" ht="15" hidden="false" customHeight="false" outlineLevel="0" collapsed="false">
      <c r="A14" s="4" t="s">
        <v>12</v>
      </c>
      <c r="B14" s="5" t="n">
        <f aca="false">원자료!B60</f>
        <v>45983</v>
      </c>
      <c r="C14" s="5" t="n">
        <f aca="false">원자료!C60</f>
        <v>48251</v>
      </c>
      <c r="D14" s="5" t="n">
        <f aca="false">원자료!D60</f>
        <v>51467</v>
      </c>
      <c r="E14" s="5" t="n">
        <f aca="false">원자료!E60</f>
        <v>51476</v>
      </c>
      <c r="F14" s="5" t="n">
        <f aca="false">원자료!F60</f>
        <v>51491</v>
      </c>
      <c r="G14" s="5" t="n">
        <f aca="false">원자료!G60</f>
        <v>49787</v>
      </c>
      <c r="H14" s="5" t="n">
        <f aca="false">원자료!H60</f>
        <v>50014</v>
      </c>
      <c r="I14" s="5" t="n">
        <f aca="false">원자료!I60</f>
        <v>49896</v>
      </c>
      <c r="J14" s="5" t="n">
        <f aca="false">원자료!J60</f>
        <v>48774</v>
      </c>
      <c r="K14" s="5" t="n">
        <f aca="false">원자료!K60</f>
        <v>47266</v>
      </c>
      <c r="L14" s="5" t="n">
        <f aca="false">원자료!L60</f>
        <v>43675</v>
      </c>
      <c r="M14" s="5" t="n">
        <f aca="false">원자료!M60</f>
        <v>42124</v>
      </c>
      <c r="N14" s="5" t="n">
        <f aca="false">원자료!N60</f>
        <v>38884</v>
      </c>
    </row>
    <row r="15" customFormat="false" ht="15" hidden="false" customHeight="false" outlineLevel="0" collapsed="false">
      <c r="A15" s="4" t="s">
        <v>13</v>
      </c>
      <c r="B15" s="5" t="n">
        <f aca="false">원자료!B61</f>
        <v>58305</v>
      </c>
      <c r="C15" s="5" t="n">
        <f aca="false">원자료!C61</f>
        <v>63236</v>
      </c>
      <c r="D15" s="5" t="n">
        <f aca="false">원자료!D61</f>
        <v>67626</v>
      </c>
      <c r="E15" s="5" t="n">
        <f aca="false">원자료!E61</f>
        <v>69395</v>
      </c>
      <c r="F15" s="5" t="n">
        <f aca="false">원자료!F61</f>
        <v>70015</v>
      </c>
      <c r="G15" s="5" t="n">
        <f aca="false">원자료!G61</f>
        <v>68750</v>
      </c>
      <c r="H15" s="5" t="n">
        <f aca="false">원자료!H61</f>
        <v>69364</v>
      </c>
      <c r="I15" s="5" t="n">
        <f aca="false">원자료!I61</f>
        <v>69787</v>
      </c>
      <c r="J15" s="5" t="n">
        <f aca="false">원자료!J61</f>
        <v>68411</v>
      </c>
      <c r="K15" s="5" t="n">
        <f aca="false">원자료!K61</f>
        <v>65304</v>
      </c>
      <c r="L15" s="5" t="n">
        <f aca="false">원자료!L61</f>
        <v>59379</v>
      </c>
      <c r="M15" s="5" t="n">
        <f aca="false">원자료!M61</f>
        <v>56504</v>
      </c>
      <c r="N15" s="5" t="n">
        <f aca="false">원자료!N61</f>
        <v>52196</v>
      </c>
    </row>
    <row r="16" customFormat="false" ht="15" hidden="false" customHeight="false" outlineLevel="0" collapsed="false">
      <c r="A16" s="4" t="s">
        <v>14</v>
      </c>
      <c r="B16" s="5" t="n">
        <f aca="false">원자료!B62</f>
        <v>56531</v>
      </c>
      <c r="C16" s="5" t="n">
        <f aca="false">원자료!C62</f>
        <v>57114</v>
      </c>
      <c r="D16" s="5" t="n">
        <f aca="false">원자료!D62</f>
        <v>60401</v>
      </c>
      <c r="E16" s="5" t="n">
        <f aca="false">원자료!E62</f>
        <v>59050</v>
      </c>
      <c r="F16" s="5" t="n">
        <f aca="false">원자료!F62</f>
        <v>58328</v>
      </c>
      <c r="G16" s="5" t="n">
        <f aca="false">원자료!G62</f>
        <v>55226</v>
      </c>
      <c r="H16" s="5" t="n">
        <f aca="false">원자료!H62</f>
        <v>53798</v>
      </c>
      <c r="I16" s="5" t="n">
        <f aca="false">원자료!I62</f>
        <v>52105</v>
      </c>
      <c r="J16" s="5" t="n">
        <f aca="false">원자료!J62</f>
        <v>49670</v>
      </c>
      <c r="K16" s="5" t="n">
        <f aca="false">원자료!K62</f>
        <v>46698</v>
      </c>
      <c r="L16" s="5" t="n">
        <f aca="false">원자료!L62</f>
        <v>41961</v>
      </c>
      <c r="M16" s="5" t="n">
        <f aca="false">원자료!M62</f>
        <v>38978</v>
      </c>
      <c r="N16" s="5" t="n">
        <f aca="false">원자료!N62</f>
        <v>34789</v>
      </c>
    </row>
    <row r="17" customFormat="false" ht="15" hidden="false" customHeight="false" outlineLevel="0" collapsed="false">
      <c r="A17" s="4" t="s">
        <v>15</v>
      </c>
      <c r="B17" s="5" t="n">
        <f aca="false">원자료!B63</f>
        <v>69395</v>
      </c>
      <c r="C17" s="5" t="n">
        <f aca="false">원자료!C63</f>
        <v>72261</v>
      </c>
      <c r="D17" s="5" t="n">
        <f aca="false">원자료!D63</f>
        <v>77010</v>
      </c>
      <c r="E17" s="5" t="n">
        <f aca="false">원자료!E63</f>
        <v>73825</v>
      </c>
      <c r="F17" s="5" t="n">
        <f aca="false">원자료!F63</f>
        <v>73271</v>
      </c>
      <c r="G17" s="5" t="n">
        <f aca="false">원자료!G63</f>
        <v>70860</v>
      </c>
      <c r="H17" s="5" t="n">
        <f aca="false">원자료!H63</f>
        <v>71010</v>
      </c>
      <c r="I17" s="5" t="n">
        <f aca="false">원자료!I63</f>
        <v>70901</v>
      </c>
      <c r="J17" s="5" t="n">
        <f aca="false">원자료!J63</f>
        <v>67914</v>
      </c>
      <c r="K17" s="5" t="n">
        <f aca="false">원자료!K63</f>
        <v>64120</v>
      </c>
      <c r="L17" s="5" t="n">
        <f aca="false">원자료!L63</f>
        <v>58234</v>
      </c>
      <c r="M17" s="5" t="n">
        <f aca="false">원자료!M63</f>
        <v>54954</v>
      </c>
      <c r="N17" s="5" t="n">
        <f aca="false">원자료!N63</f>
        <v>48988</v>
      </c>
    </row>
    <row r="18" customFormat="false" ht="15" hidden="false" customHeight="false" outlineLevel="0" collapsed="false">
      <c r="A18" s="4" t="s">
        <v>16</v>
      </c>
      <c r="B18" s="5" t="n">
        <f aca="false">원자료!B64</f>
        <v>93059</v>
      </c>
      <c r="C18" s="5" t="n">
        <f aca="false">원자료!C64</f>
        <v>99100</v>
      </c>
      <c r="D18" s="5" t="n">
        <f aca="false">원자료!D64</f>
        <v>108931</v>
      </c>
      <c r="E18" s="5" t="n">
        <f aca="false">원자료!E64</f>
        <v>106745</v>
      </c>
      <c r="F18" s="5" t="n">
        <f aca="false">원자료!F64</f>
        <v>108121</v>
      </c>
      <c r="G18" s="5" t="n">
        <f aca="false">원자료!G64</f>
        <v>105271</v>
      </c>
      <c r="H18" s="5" t="n">
        <f aca="false">원자료!H64</f>
        <v>103822</v>
      </c>
      <c r="I18" s="5" t="n">
        <f aca="false">원자료!I64</f>
        <v>103717</v>
      </c>
      <c r="J18" s="5" t="n">
        <f aca="false">원자료!J64</f>
        <v>99755</v>
      </c>
      <c r="K18" s="5" t="n">
        <f aca="false">원자료!K64</f>
        <v>93756</v>
      </c>
      <c r="L18" s="5" t="n">
        <f aca="false">원자료!L64</f>
        <v>84337</v>
      </c>
      <c r="M18" s="5" t="n">
        <f aca="false">원자료!M64</f>
        <v>78004</v>
      </c>
      <c r="N18" s="5" t="n">
        <f aca="false">원자료!N64</f>
        <v>68841</v>
      </c>
    </row>
    <row r="19" customFormat="false" ht="15" hidden="false" customHeight="false" outlineLevel="0" collapsed="false">
      <c r="A19" s="4" t="s">
        <v>17</v>
      </c>
      <c r="B19" s="5" t="n">
        <f aca="false">원자료!B65</f>
        <v>24809</v>
      </c>
      <c r="C19" s="5" t="n">
        <f aca="false">원자료!C65</f>
        <v>25513</v>
      </c>
      <c r="D19" s="5" t="n">
        <f aca="false">원자료!D65</f>
        <v>26894</v>
      </c>
      <c r="E19" s="5" t="n">
        <f aca="false">원자료!E65</f>
        <v>27256</v>
      </c>
      <c r="F19" s="5" t="n">
        <f aca="false">원자료!F65</f>
        <v>27402</v>
      </c>
      <c r="G19" s="5" t="n">
        <f aca="false">원자료!G65</f>
        <v>27109</v>
      </c>
      <c r="H19" s="5" t="n">
        <f aca="false">원자료!H65</f>
        <v>27231</v>
      </c>
      <c r="I19" s="5" t="n">
        <f aca="false">원자료!I65</f>
        <v>27191</v>
      </c>
      <c r="J19" s="5" t="n">
        <f aca="false">원자료!J65</f>
        <v>26458</v>
      </c>
      <c r="K19" s="5" t="n">
        <f aca="false">원자료!K65</f>
        <v>25197</v>
      </c>
      <c r="L19" s="5" t="n">
        <f aca="false">원자료!L65</f>
        <v>23825</v>
      </c>
      <c r="M19" s="5" t="n">
        <f aca="false">원자료!M65</f>
        <v>22451</v>
      </c>
      <c r="N19" s="5" t="n">
        <f aca="false">원자료!N65</f>
        <v>20970</v>
      </c>
    </row>
    <row r="20" customFormat="false" ht="17.15" hidden="false" customHeight="false" outlineLevel="0" collapsed="false">
      <c r="A20" s="4" t="s">
        <v>18</v>
      </c>
      <c r="B20" s="5" t="n">
        <f aca="false">원자료!B68</f>
        <v>101782</v>
      </c>
      <c r="C20" s="5" t="n">
        <f aca="false">원자료!C68</f>
        <v>103971</v>
      </c>
      <c r="D20" s="5" t="n">
        <f aca="false">원자료!D68</f>
        <v>109859</v>
      </c>
      <c r="E20" s="5" t="n">
        <f aca="false">원자료!E68</f>
        <v>107608</v>
      </c>
      <c r="F20" s="5" t="n">
        <f aca="false">원자료!F68</f>
        <v>106777</v>
      </c>
      <c r="G20" s="5" t="n">
        <f aca="false">원자료!G68</f>
        <v>103176</v>
      </c>
      <c r="H20" s="5" t="n">
        <f aca="false">원자료!H68</f>
        <v>101915</v>
      </c>
      <c r="I20" s="5" t="n">
        <f aca="false">원자료!I68</f>
        <v>100422</v>
      </c>
      <c r="J20" s="5" t="n">
        <f aca="false">원자료!J68</f>
        <v>95335</v>
      </c>
      <c r="K20" s="5" t="n">
        <f aca="false">원자료!K68</f>
        <v>89326</v>
      </c>
      <c r="L20" s="5" t="n">
        <f aca="false">원자료!L68</f>
        <v>80890</v>
      </c>
      <c r="M20" s="5" t="n">
        <f aca="false">원자료!M68</f>
        <v>76802</v>
      </c>
      <c r="N20" s="5" t="n">
        <f aca="false">원자료!N68</f>
        <v>70659</v>
      </c>
    </row>
    <row r="21" customFormat="false" ht="17.15" hidden="false" customHeight="false" outlineLevel="0" collapsed="false">
      <c r="A21" s="6" t="s">
        <v>19</v>
      </c>
      <c r="B21" s="7" t="n">
        <f aca="false">SUM(B5:B20)</f>
        <v>1279910</v>
      </c>
      <c r="C21" s="7" t="n">
        <f aca="false">SUM(C5:C20)</f>
        <v>1348729</v>
      </c>
      <c r="D21" s="7" t="n">
        <f aca="false">SUM(D5:D20)</f>
        <v>1487361</v>
      </c>
      <c r="E21" s="7" t="n">
        <f aca="false">SUM(E5:E20)</f>
        <v>1486980</v>
      </c>
      <c r="F21" s="7" t="n">
        <f aca="false">SUM(F5:F20)</f>
        <v>1496671</v>
      </c>
      <c r="G21" s="7" t="n">
        <f aca="false">SUM(G5:G20)</f>
        <v>1452813</v>
      </c>
      <c r="H21" s="7" t="n">
        <f aca="false">SUM(H5:H20)</f>
        <v>1451215</v>
      </c>
      <c r="I21" s="7" t="n">
        <f aca="false">SUM(I5:I20)</f>
        <v>1450243</v>
      </c>
      <c r="J21" s="7" t="n">
        <f aca="false">SUM(J5:J20)</f>
        <v>1415742</v>
      </c>
      <c r="K21" s="7" t="n">
        <f aca="false">SUM(K5:K20)</f>
        <v>1365085</v>
      </c>
      <c r="L21" s="7" t="n">
        <f aca="false">SUM(L5:L20)</f>
        <v>1244396</v>
      </c>
      <c r="M21" s="7" t="n">
        <f aca="false">SUM(M5:M20)</f>
        <v>1184716</v>
      </c>
      <c r="N21" s="7" t="n">
        <f aca="false">SUM(N5:N20)</f>
        <v>1095450</v>
      </c>
    </row>
    <row r="22" customFormat="false" ht="17.15" hidden="false" customHeight="false" outlineLevel="0" collapsed="false">
      <c r="A22" s="8" t="s">
        <v>20</v>
      </c>
      <c r="B22" s="5" t="n">
        <f aca="false">원자료!B69</f>
        <v>1279910</v>
      </c>
      <c r="C22" s="5" t="n">
        <f aca="false">원자료!C69</f>
        <v>1348729</v>
      </c>
      <c r="D22" s="5" t="n">
        <f aca="false">원자료!D69</f>
        <v>1487361</v>
      </c>
      <c r="E22" s="5" t="n">
        <f aca="false">원자료!E69</f>
        <v>1486980</v>
      </c>
      <c r="F22" s="5" t="n">
        <f aca="false">원자료!F69</f>
        <v>1496671</v>
      </c>
      <c r="G22" s="5" t="n">
        <f aca="false">원자료!G69</f>
        <v>1452813</v>
      </c>
      <c r="H22" s="5" t="n">
        <f aca="false">원자료!H69</f>
        <v>1451215</v>
      </c>
      <c r="I22" s="5" t="n">
        <f aca="false">원자료!I69</f>
        <v>1450243</v>
      </c>
      <c r="J22" s="5" t="n">
        <f aca="false">원자료!J69</f>
        <v>1415742</v>
      </c>
      <c r="K22" s="5" t="n">
        <f aca="false">원자료!K69</f>
        <v>1365085</v>
      </c>
      <c r="L22" s="5" t="n">
        <f aca="false">원자료!L69</f>
        <v>1244396</v>
      </c>
      <c r="M22" s="5" t="n">
        <f aca="false">원자료!M69</f>
        <v>1184716</v>
      </c>
      <c r="N22" s="5" t="n">
        <f aca="false">원자료!N69</f>
        <v>1095450</v>
      </c>
    </row>
    <row r="23" customFormat="false" ht="17.15" hidden="false" customHeight="false" outlineLevel="0" collapsed="false">
      <c r="A23" s="9" t="s">
        <v>21</v>
      </c>
      <c r="B23" s="10" t="n">
        <f aca="false">B21-B22</f>
        <v>0</v>
      </c>
      <c r="C23" s="10" t="n">
        <f aca="false">C21-C22</f>
        <v>0</v>
      </c>
      <c r="D23" s="10" t="n">
        <f aca="false">D21-D22</f>
        <v>0</v>
      </c>
      <c r="E23" s="10" t="n">
        <f aca="false">E21-E22</f>
        <v>0</v>
      </c>
      <c r="F23" s="10" t="n">
        <f aca="false">F21-F22</f>
        <v>0</v>
      </c>
      <c r="G23" s="10" t="n">
        <f aca="false">G21-G22</f>
        <v>0</v>
      </c>
      <c r="H23" s="10" t="n">
        <f aca="false">H21-H22</f>
        <v>0</v>
      </c>
      <c r="I23" s="10" t="n">
        <f aca="false">I21-I22</f>
        <v>0</v>
      </c>
      <c r="J23" s="10" t="n">
        <f aca="false">J21-J22</f>
        <v>0</v>
      </c>
      <c r="K23" s="10" t="n">
        <f aca="false">K21-K22</f>
        <v>0</v>
      </c>
      <c r="L23" s="10" t="n">
        <f aca="false">L21-L22</f>
        <v>0</v>
      </c>
      <c r="M23" s="10" t="n">
        <f aca="false">M21-M22</f>
        <v>0</v>
      </c>
      <c r="N23" s="10" t="n">
        <f aca="false">N21-N22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14" min="2" style="0" width="10"/>
  </cols>
  <sheetData>
    <row r="1" customFormat="false" ht="21.6" hidden="false" customHeight="false" outlineLevel="0" collapsed="false">
      <c r="A1" s="1" t="s">
        <v>26</v>
      </c>
    </row>
    <row r="2" customFormat="false" ht="15" hidden="false" customHeight="false" outlineLevel="0" collapsed="false">
      <c r="A2" s="11" t="s">
        <v>27</v>
      </c>
    </row>
    <row r="4" customFormat="false" ht="17.15" hidden="false" customHeight="false" outlineLevel="0" collapsed="false">
      <c r="A4" s="12" t="s">
        <v>28</v>
      </c>
    </row>
    <row r="5" customFormat="false" ht="15" hidden="false" customHeight="false" outlineLevel="0" collapsed="false">
      <c r="A5" s="3" t="s">
        <v>2</v>
      </c>
      <c r="B5" s="3" t="n">
        <v>2010</v>
      </c>
      <c r="C5" s="3" t="n">
        <v>2011</v>
      </c>
      <c r="D5" s="3" t="n">
        <v>2012</v>
      </c>
      <c r="E5" s="3" t="n">
        <v>2013</v>
      </c>
      <c r="F5" s="3" t="n">
        <v>2014</v>
      </c>
      <c r="G5" s="3" t="n">
        <v>2015</v>
      </c>
      <c r="H5" s="3" t="n">
        <v>2016</v>
      </c>
      <c r="I5" s="3" t="n">
        <v>2017</v>
      </c>
      <c r="J5" s="3" t="n">
        <v>2018</v>
      </c>
      <c r="K5" s="3" t="n">
        <v>2019</v>
      </c>
      <c r="L5" s="3" t="n">
        <v>2020</v>
      </c>
      <c r="M5" s="3" t="n">
        <v>2021</v>
      </c>
      <c r="N5" s="3" t="n">
        <v>2022</v>
      </c>
    </row>
    <row r="6" customFormat="false" ht="15" hidden="false" customHeight="false" outlineLevel="0" collapsed="false">
      <c r="A6" s="8" t="s">
        <v>3</v>
      </c>
      <c r="B6" s="13" t="n">
        <f aca="false">IF(OR('정원(명)'!B5=0,'현원(명)'!B5=0),"",'현원(명)'!B5/'정원(명)'!B5)</f>
        <v>0.874087645289182</v>
      </c>
      <c r="C6" s="13" t="n">
        <f aca="false">IF(OR('정원(명)'!C5=0,'현원(명)'!C5=0),"",'현원(명)'!C5/'정원(명)'!C5)</f>
        <v>0.882611731843575</v>
      </c>
      <c r="D6" s="13" t="n">
        <f aca="false">IF(OR('정원(명)'!D5=0,'현원(명)'!D5=0),"",'현원(명)'!D5/'정원(명)'!D5)</f>
        <v>0.913945850994768</v>
      </c>
      <c r="E6" s="13" t="n">
        <f aca="false">IF(OR('정원(명)'!E5=0,'현원(명)'!E5=0),"",'현원(명)'!E5/'정원(명)'!E5)</f>
        <v>0.89717442264603</v>
      </c>
      <c r="F6" s="13" t="n">
        <f aca="false">IF(OR('정원(명)'!F5=0,'현원(명)'!F5=0),"",'현원(명)'!F5/'정원(명)'!F5)</f>
        <v>0.883716202480179</v>
      </c>
      <c r="G6" s="13" t="n">
        <f aca="false">IF(OR('정원(명)'!G5=0,'현원(명)'!G5=0),"",'현원(명)'!G5/'정원(명)'!G5)</f>
        <v>0.868570615615835</v>
      </c>
      <c r="H6" s="13" t="n">
        <f aca="false">IF(OR('정원(명)'!H5=0,'현원(명)'!H5=0),"",'현원(명)'!H5/'정원(명)'!H5)</f>
        <v>0.875362190126225</v>
      </c>
      <c r="I6" s="13" t="n">
        <f aca="false">IF(OR('정원(명)'!I5=0,'현원(명)'!I5=0),"",'현원(명)'!I5/'정원(명)'!I5)</f>
        <v>0.876042521447221</v>
      </c>
      <c r="J6" s="13" t="n">
        <f aca="false">IF(OR('정원(명)'!J5=0,'현원(명)'!J5=0),"",'현원(명)'!J5/'정원(명)'!J5)</f>
        <v>0.86244713232025</v>
      </c>
      <c r="K6" s="13" t="n">
        <f aca="false">IF(OR('정원(명)'!K5=0,'현원(명)'!K5=0),"",'현원(명)'!K5/'정원(명)'!K5)</f>
        <v>0.854269303601034</v>
      </c>
      <c r="L6" s="13" t="n">
        <f aca="false">IF(OR('정원(명)'!L5=0,'현원(명)'!L5=0),"",'현원(명)'!L5/'정원(명)'!L5)</f>
        <v>0.798249431594018</v>
      </c>
      <c r="M6" s="13" t="n">
        <f aca="false">IF(OR('정원(명)'!M5=0,'현원(명)'!M5=0),"",'현원(명)'!M5/'정원(명)'!M5)</f>
        <v>0.77613903480113</v>
      </c>
      <c r="N6" s="13" t="n">
        <f aca="false">IF(OR('정원(명)'!N5=0,'현원(명)'!N5=0),"",'현원(명)'!N5/'정원(명)'!N5)</f>
        <v>0.74868531668664</v>
      </c>
    </row>
    <row r="7" customFormat="false" ht="15" hidden="false" customHeight="false" outlineLevel="0" collapsed="false">
      <c r="A7" s="8" t="s">
        <v>4</v>
      </c>
      <c r="B7" s="13" t="n">
        <f aca="false">IF(OR('정원(명)'!B6=0,'현원(명)'!B6=0),"",'현원(명)'!B6/'정원(명)'!B6)</f>
        <v>0.827678998063526</v>
      </c>
      <c r="C7" s="13" t="n">
        <f aca="false">IF(OR('정원(명)'!C6=0,'현원(명)'!C6=0),"",'현원(명)'!C6/'정원(명)'!C6)</f>
        <v>0.844470918183736</v>
      </c>
      <c r="D7" s="13" t="n">
        <f aca="false">IF(OR('정원(명)'!D6=0,'현원(명)'!D6=0),"",'현원(명)'!D6/'정원(명)'!D6)</f>
        <v>0.871887630651756</v>
      </c>
      <c r="E7" s="13" t="n">
        <f aca="false">IF(OR('정원(명)'!E6=0,'현원(명)'!E6=0),"",'현원(명)'!E6/'정원(명)'!E6)</f>
        <v>0.851887938742291</v>
      </c>
      <c r="F7" s="13" t="n">
        <f aca="false">IF(OR('정원(명)'!F6=0,'현원(명)'!F6=0),"",'현원(명)'!F6/'정원(명)'!F6)</f>
        <v>0.846527762185949</v>
      </c>
      <c r="G7" s="13" t="n">
        <f aca="false">IF(OR('정원(명)'!G6=0,'현원(명)'!G6=0),"",'현원(명)'!G6/'정원(명)'!G6)</f>
        <v>0.822127669029262</v>
      </c>
      <c r="H7" s="13" t="n">
        <f aca="false">IF(OR('정원(명)'!H6=0,'현원(명)'!H6=0),"",'현원(명)'!H6/'정원(명)'!H6)</f>
        <v>0.836579000200763</v>
      </c>
      <c r="I7" s="13" t="n">
        <f aca="false">IF(OR('정원(명)'!I6=0,'현원(명)'!I6=0),"",'현원(명)'!I6/'정원(명)'!I6)</f>
        <v>0.841992362982929</v>
      </c>
      <c r="J7" s="13" t="n">
        <f aca="false">IF(OR('정원(명)'!J6=0,'현원(명)'!J6=0),"",'현원(명)'!J6/'정원(명)'!J6)</f>
        <v>0.834100337784226</v>
      </c>
      <c r="K7" s="13" t="n">
        <f aca="false">IF(OR('정원(명)'!K6=0,'현원(명)'!K6=0),"",'현원(명)'!K6/'정원(명)'!K6)</f>
        <v>0.820040899795501</v>
      </c>
      <c r="L7" s="13" t="n">
        <f aca="false">IF(OR('정원(명)'!L6=0,'현원(명)'!L6=0),"",'현원(명)'!L6/'정원(명)'!L6)</f>
        <v>0.777187886867917</v>
      </c>
      <c r="M7" s="13" t="n">
        <f aca="false">IF(OR('정원(명)'!M6=0,'현원(명)'!M6=0),"",'현원(명)'!M6/'정원(명)'!M6)</f>
        <v>0.767757451899113</v>
      </c>
      <c r="N7" s="13" t="n">
        <f aca="false">IF(OR('정원(명)'!N6=0,'현원(명)'!N6=0),"",'현원(명)'!N6/'정원(명)'!N6)</f>
        <v>0.733459406928795</v>
      </c>
    </row>
    <row r="8" customFormat="false" ht="15" hidden="false" customHeight="false" outlineLevel="0" collapsed="false">
      <c r="A8" s="8" t="s">
        <v>5</v>
      </c>
      <c r="B8" s="13" t="n">
        <f aca="false">IF(OR('정원(명)'!B7=0,'현원(명)'!B7=0),"",'현원(명)'!B7/'정원(명)'!B7)</f>
        <v>0.809756673134407</v>
      </c>
      <c r="C8" s="13" t="n">
        <f aca="false">IF(OR('정원(명)'!C7=0,'현원(명)'!C7=0),"",'현원(명)'!C7/'정원(명)'!C7)</f>
        <v>0.817400088062369</v>
      </c>
      <c r="D8" s="13" t="n">
        <f aca="false">IF(OR('정원(명)'!D7=0,'현원(명)'!D7=0),"",'현원(명)'!D7/'정원(명)'!D7)</f>
        <v>0.837355363612431</v>
      </c>
      <c r="E8" s="13" t="n">
        <f aca="false">IF(OR('정원(명)'!E7=0,'현원(명)'!E7=0),"",'현원(명)'!E7/'정원(명)'!E7)</f>
        <v>0.797420829252367</v>
      </c>
      <c r="F8" s="13" t="n">
        <f aca="false">IF(OR('정원(명)'!F7=0,'현원(명)'!F7=0),"",'현원(명)'!F7/'정원(명)'!F7)</f>
        <v>0.792491863662739</v>
      </c>
      <c r="G8" s="13" t="n">
        <f aca="false">IF(OR('정원(명)'!G7=0,'현원(명)'!G7=0),"",'현원(명)'!G7/'정원(명)'!G7)</f>
        <v>0.766618953666809</v>
      </c>
      <c r="H8" s="13" t="n">
        <f aca="false">IF(OR('정원(명)'!H7=0,'현원(명)'!H7=0),"",'현원(명)'!H7/'정원(명)'!H7)</f>
        <v>0.780094345890639</v>
      </c>
      <c r="I8" s="13" t="n">
        <f aca="false">IF(OR('정원(명)'!I7=0,'현원(명)'!I7=0),"",'현원(명)'!I7/'정원(명)'!I7)</f>
        <v>0.784392738566992</v>
      </c>
      <c r="J8" s="13" t="n">
        <f aca="false">IF(OR('정원(명)'!J7=0,'현원(명)'!J7=0),"",'현원(명)'!J7/'정원(명)'!J7)</f>
        <v>0.785420689655172</v>
      </c>
      <c r="K8" s="13" t="n">
        <f aca="false">IF(OR('정원(명)'!K7=0,'현원(명)'!K7=0),"",'현원(명)'!K7/'정원(명)'!K7)</f>
        <v>0.78744775904309</v>
      </c>
      <c r="L8" s="13" t="n">
        <f aca="false">IF(OR('정원(명)'!L7=0,'현원(명)'!L7=0),"",'현원(명)'!L7/'정원(명)'!L7)</f>
        <v>0.734770033120026</v>
      </c>
      <c r="M8" s="13" t="n">
        <f aca="false">IF(OR('정원(명)'!M7=0,'현원(명)'!M7=0),"",'현원(명)'!M7/'정원(명)'!M7)</f>
        <v>0.743839034205231</v>
      </c>
      <c r="N8" s="13" t="n">
        <f aca="false">IF(OR('정원(명)'!N7=0,'현원(명)'!N7=0),"",'현원(명)'!N7/'정원(명)'!N7)</f>
        <v>0.714860181041155</v>
      </c>
    </row>
    <row r="9" customFormat="false" ht="15" hidden="false" customHeight="false" outlineLevel="0" collapsed="false">
      <c r="A9" s="8" t="s">
        <v>6</v>
      </c>
      <c r="B9" s="13" t="n">
        <f aca="false">IF(OR('정원(명)'!B8=0,'현원(명)'!B8=0),"",'현원(명)'!B8/'정원(명)'!B8)</f>
        <v>0.861543960917745</v>
      </c>
      <c r="C9" s="13" t="n">
        <f aca="false">IF(OR('정원(명)'!C8=0,'현원(명)'!C8=0),"",'현원(명)'!C8/'정원(명)'!C8)</f>
        <v>0.867906863639127</v>
      </c>
      <c r="D9" s="13" t="n">
        <f aca="false">IF(OR('정원(명)'!D8=0,'현원(명)'!D8=0),"",'현원(명)'!D8/'정원(명)'!D8)</f>
        <v>0.905623310849175</v>
      </c>
      <c r="E9" s="13" t="n">
        <f aca="false">IF(OR('정원(명)'!E8=0,'현원(명)'!E8=0),"",'현원(명)'!E8/'정원(명)'!E8)</f>
        <v>0.886293206197855</v>
      </c>
      <c r="F9" s="13" t="n">
        <f aca="false">IF(OR('정원(명)'!F8=0,'현원(명)'!F8=0),"",'현원(명)'!F8/'정원(명)'!F8)</f>
        <v>0.883126608446188</v>
      </c>
      <c r="G9" s="13" t="n">
        <f aca="false">IF(OR('정원(명)'!G8=0,'현원(명)'!G8=0),"",'현원(명)'!G8/'정원(명)'!G8)</f>
        <v>0.858742808887951</v>
      </c>
      <c r="H9" s="13" t="n">
        <f aca="false">IF(OR('정원(명)'!H8=0,'현원(명)'!H8=0),"",'현원(명)'!H8/'정원(명)'!H8)</f>
        <v>0.85985113556842</v>
      </c>
      <c r="I9" s="13" t="n">
        <f aca="false">IF(OR('정원(명)'!I8=0,'현원(명)'!I8=0),"",'현원(명)'!I8/'정원(명)'!I8)</f>
        <v>0.861153100981498</v>
      </c>
      <c r="J9" s="13" t="n">
        <f aca="false">IF(OR('정원(명)'!J8=0,'현원(명)'!J8=0),"",'현원(명)'!J8/'정원(명)'!J8)</f>
        <v>0.843174846625767</v>
      </c>
      <c r="K9" s="13" t="n">
        <f aca="false">IF(OR('정원(명)'!K8=0,'현원(명)'!K8=0),"",'현원(명)'!K8/'정원(명)'!K8)</f>
        <v>0.830475358838618</v>
      </c>
      <c r="L9" s="13" t="n">
        <f aca="false">IF(OR('정원(명)'!L8=0,'현원(명)'!L8=0),"",'현원(명)'!L8/'정원(명)'!L8)</f>
        <v>0.773914229222063</v>
      </c>
      <c r="M9" s="13" t="n">
        <f aca="false">IF(OR('정원(명)'!M8=0,'현원(명)'!M8=0),"",'현원(명)'!M8/'정원(명)'!M8)</f>
        <v>0.773625363761679</v>
      </c>
      <c r="N9" s="13" t="n">
        <f aca="false">IF(OR('정원(명)'!N8=0,'현원(명)'!N8=0),"",'현원(명)'!N8/'정원(명)'!N8)</f>
        <v>0.768888449367089</v>
      </c>
    </row>
    <row r="10" customFormat="false" ht="15" hidden="false" customHeight="false" outlineLevel="0" collapsed="false">
      <c r="A10" s="8" t="s">
        <v>7</v>
      </c>
      <c r="B10" s="13" t="n">
        <f aca="false">IF(OR('정원(명)'!B9=0,'현원(명)'!B9=0),"",'현원(명)'!B9/'정원(명)'!B9)</f>
        <v>0.830162266606203</v>
      </c>
      <c r="C10" s="13" t="n">
        <f aca="false">IF(OR('정원(명)'!C9=0,'현원(명)'!C9=0),"",'현원(명)'!C9/'정원(명)'!C9)</f>
        <v>0.843993789290313</v>
      </c>
      <c r="D10" s="13" t="n">
        <f aca="false">IF(OR('정원(명)'!D9=0,'현원(명)'!D9=0),"",'현원(명)'!D9/'정원(명)'!D9)</f>
        <v>0.891227941041164</v>
      </c>
      <c r="E10" s="13" t="n">
        <f aca="false">IF(OR('정원(명)'!E9=0,'현원(명)'!E9=0),"",'현원(명)'!E9/'정원(명)'!E9)</f>
        <v>0.855859616012775</v>
      </c>
      <c r="F10" s="13" t="n">
        <f aca="false">IF(OR('정원(명)'!F9=0,'현원(명)'!F9=0),"",'현원(명)'!F9/'정원(명)'!F9)</f>
        <v>0.843500801036848</v>
      </c>
      <c r="G10" s="13" t="n">
        <f aca="false">IF(OR('정원(명)'!G9=0,'현원(명)'!G9=0),"",'현원(명)'!G9/'정원(명)'!G9)</f>
        <v>0.803289296306282</v>
      </c>
      <c r="H10" s="13" t="n">
        <f aca="false">IF(OR('정원(명)'!H9=0,'현원(명)'!H9=0),"",'현원(명)'!H9/'정원(명)'!H9)</f>
        <v>0.815973878269802</v>
      </c>
      <c r="I10" s="13" t="n">
        <f aca="false">IF(OR('정원(명)'!I9=0,'현원(명)'!I9=0),"",'현원(명)'!I9/'정원(명)'!I9)</f>
        <v>0.815098345999106</v>
      </c>
      <c r="J10" s="13" t="n">
        <f aca="false">IF(OR('정원(명)'!J9=0,'현원(명)'!J9=0),"",'현원(명)'!J9/'정원(명)'!J9)</f>
        <v>0.814365507104361</v>
      </c>
      <c r="K10" s="13" t="n">
        <f aca="false">IF(OR('정원(명)'!K9=0,'현원(명)'!K9=0),"",'현원(명)'!K9/'정원(명)'!K9)</f>
        <v>0.803914613025061</v>
      </c>
      <c r="L10" s="13" t="n">
        <f aca="false">IF(OR('정원(명)'!L9=0,'현원(명)'!L9=0),"",'현원(명)'!L9/'정원(명)'!L9)</f>
        <v>0.753697962798937</v>
      </c>
      <c r="M10" s="13" t="n">
        <f aca="false">IF(OR('정원(명)'!M9=0,'현원(명)'!M9=0),"",'현원(명)'!M9/'정원(명)'!M9)</f>
        <v>0.739299518626544</v>
      </c>
      <c r="N10" s="13" t="n">
        <f aca="false">IF(OR('정원(명)'!N9=0,'현원(명)'!N9=0),"",'현원(명)'!N9/'정원(명)'!N9)</f>
        <v>0.71896793971133</v>
      </c>
    </row>
    <row r="11" customFormat="false" ht="15" hidden="false" customHeight="false" outlineLevel="0" collapsed="false">
      <c r="A11" s="8" t="s">
        <v>8</v>
      </c>
      <c r="B11" s="13" t="n">
        <f aca="false">IF(OR('정원(명)'!B10=0,'현원(명)'!B10=0),"",'현원(명)'!B10/'정원(명)'!B10)</f>
        <v>0.826508718382642</v>
      </c>
      <c r="C11" s="13" t="n">
        <f aca="false">IF(OR('정원(명)'!C10=0,'현원(명)'!C10=0),"",'현원(명)'!C10/'정원(명)'!C10)</f>
        <v>0.841526066084613</v>
      </c>
      <c r="D11" s="13" t="n">
        <f aca="false">IF(OR('정원(명)'!D10=0,'현원(명)'!D10=0),"",'현원(명)'!D10/'정원(명)'!D10)</f>
        <v>0.88458518712379</v>
      </c>
      <c r="E11" s="13" t="n">
        <f aca="false">IF(OR('정원(명)'!E10=0,'현원(명)'!E10=0),"",'현원(명)'!E10/'정원(명)'!E10)</f>
        <v>0.864745514648364</v>
      </c>
      <c r="F11" s="13" t="n">
        <f aca="false">IF(OR('정원(명)'!F10=0,'현원(명)'!F10=0),"",'현원(명)'!F10/'정원(명)'!F10)</f>
        <v>0.868209255533199</v>
      </c>
      <c r="G11" s="13" t="n">
        <f aca="false">IF(OR('정원(명)'!G10=0,'현원(명)'!G10=0),"",'현원(명)'!G10/'정원(명)'!G10)</f>
        <v>0.847844690579232</v>
      </c>
      <c r="H11" s="13" t="n">
        <f aca="false">IF(OR('정원(명)'!H10=0,'현원(명)'!H10=0),"",'현원(명)'!H10/'정원(명)'!H10)</f>
        <v>0.863501999652234</v>
      </c>
      <c r="I11" s="13" t="n">
        <f aca="false">IF(OR('정원(명)'!I10=0,'현원(명)'!I10=0),"",'현원(명)'!I10/'정원(명)'!I10)</f>
        <v>0.859868502667163</v>
      </c>
      <c r="J11" s="13" t="n">
        <f aca="false">IF(OR('정원(명)'!J10=0,'현원(명)'!J10=0),"",'현원(명)'!J10/'정원(명)'!J10)</f>
        <v>0.863187446733845</v>
      </c>
      <c r="K11" s="13" t="n">
        <f aca="false">IF(OR('정원(명)'!K10=0,'현원(명)'!K10=0),"",'현원(명)'!K10/'정원(명)'!K10)</f>
        <v>0.840226986128626</v>
      </c>
      <c r="L11" s="13" t="n">
        <f aca="false">IF(OR('정원(명)'!L10=0,'현원(명)'!L10=0),"",'현원(명)'!L10/'정원(명)'!L10)</f>
        <v>0.79499079779147</v>
      </c>
      <c r="M11" s="13" t="n">
        <f aca="false">IF(OR('정원(명)'!M10=0,'현원(명)'!M10=0),"",'현원(명)'!M10/'정원(명)'!M10)</f>
        <v>0.790214845444293</v>
      </c>
      <c r="N11" s="13" t="n">
        <f aca="false">IF(OR('정원(명)'!N10=0,'현원(명)'!N10=0),"",'현원(명)'!N10/'정원(명)'!N10)</f>
        <v>0.784098784098784</v>
      </c>
    </row>
    <row r="12" customFormat="false" ht="15" hidden="false" customHeight="false" outlineLevel="0" collapsed="false">
      <c r="A12" s="8" t="s">
        <v>9</v>
      </c>
      <c r="B12" s="13" t="str">
        <f aca="false">IF(OR('정원(명)'!B11=0,'현원(명)'!B11=0),"",'현원(명)'!B11/'정원(명)'!B11)</f>
        <v/>
      </c>
      <c r="C12" s="13" t="str">
        <f aca="false">IF(OR('정원(명)'!C11=0,'현원(명)'!C11=0),"",'현원(명)'!C11/'정원(명)'!C11)</f>
        <v/>
      </c>
      <c r="D12" s="13" t="n">
        <f aca="false">IF(OR('정원(명)'!D11=0,'현원(명)'!D11=0),"",'현원(명)'!D11/'정원(명)'!D11)</f>
        <v>0.818100035984167</v>
      </c>
      <c r="E12" s="13" t="n">
        <f aca="false">IF(OR('정원(명)'!E11=0,'현원(명)'!E11=0),"",'현원(명)'!E11/'정원(명)'!E11)</f>
        <v>0.816010124980225</v>
      </c>
      <c r="F12" s="13" t="n">
        <f aca="false">IF(OR('정원(명)'!F11=0,'현원(명)'!F11=0),"",'현원(명)'!F11/'정원(명)'!F11)</f>
        <v>0.761865112406328</v>
      </c>
      <c r="G12" s="13" t="n">
        <f aca="false">IF(OR('정원(명)'!G11=0,'현원(명)'!G11=0),"",'현원(명)'!G11/'정원(명)'!G11)</f>
        <v>0.799321909649042</v>
      </c>
      <c r="H12" s="13" t="n">
        <f aca="false">IF(OR('정원(명)'!H11=0,'현원(명)'!H11=0),"",'현원(명)'!H11/'정원(명)'!H11)</f>
        <v>0.861682688488123</v>
      </c>
      <c r="I12" s="13" t="n">
        <f aca="false">IF(OR('정원(명)'!I11=0,'현원(명)'!I11=0),"",'현원(명)'!I11/'정원(명)'!I11)</f>
        <v>0.858234411243007</v>
      </c>
      <c r="J12" s="13" t="n">
        <f aca="false">IF(OR('정원(명)'!J11=0,'현원(명)'!J11=0),"",'현원(명)'!J11/'정원(명)'!J11)</f>
        <v>0.808390343189914</v>
      </c>
      <c r="K12" s="13" t="n">
        <f aca="false">IF(OR('정원(명)'!K11=0,'현원(명)'!K11=0),"",'현원(명)'!K11/'정원(명)'!K11)</f>
        <v>0.80440414507772</v>
      </c>
      <c r="L12" s="13" t="n">
        <f aca="false">IF(OR('정원(명)'!L11=0,'현원(명)'!L11=0),"",'현원(명)'!L11/'정원(명)'!L11)</f>
        <v>0.785838623796846</v>
      </c>
      <c r="M12" s="13" t="n">
        <f aca="false">IF(OR('정원(명)'!M11=0,'현원(명)'!M11=0),"",'현원(명)'!M11/'정원(명)'!M11)</f>
        <v>0.782069036261989</v>
      </c>
      <c r="N12" s="13" t="n">
        <f aca="false">IF(OR('정원(명)'!N11=0,'현원(명)'!N11=0),"",'현원(명)'!N11/'정원(명)'!N11)</f>
        <v>0.794454201926659</v>
      </c>
    </row>
    <row r="13" customFormat="false" ht="15" hidden="false" customHeight="false" outlineLevel="0" collapsed="false">
      <c r="A13" s="8" t="s">
        <v>10</v>
      </c>
      <c r="B13" s="13" t="n">
        <f aca="false">IF(OR('정원(명)'!B12=0,'현원(명)'!B12=0),"",'현원(명)'!B12/'정원(명)'!B12)</f>
        <v>0.826490586111706</v>
      </c>
      <c r="C13" s="13" t="n">
        <f aca="false">IF(OR('정원(명)'!C12=0,'현원(명)'!C12=0),"",'현원(명)'!C12/'정원(명)'!C12)</f>
        <v>0.839909648840363</v>
      </c>
      <c r="D13" s="13" t="n">
        <f aca="false">IF(OR('정원(명)'!D12=0,'현원(명)'!D12=0),"",'현원(명)'!D12/'정원(명)'!D12)</f>
        <v>0.877383373941033</v>
      </c>
      <c r="E13" s="13" t="n">
        <f aca="false">IF(OR('정원(명)'!E12=0,'현원(명)'!E12=0),"",'현원(명)'!E12/'정원(명)'!E12)</f>
        <v>0.841605343525991</v>
      </c>
      <c r="F13" s="13" t="n">
        <f aca="false">IF(OR('정원(명)'!F12=0,'현원(명)'!F12=0),"",'현원(명)'!F12/'정원(명)'!F12)</f>
        <v>0.841057999177613</v>
      </c>
      <c r="G13" s="13" t="n">
        <f aca="false">IF(OR('정원(명)'!G12=0,'현원(명)'!G12=0),"",'현원(명)'!G12/'정원(명)'!G12)</f>
        <v>0.820443345083109</v>
      </c>
      <c r="H13" s="13" t="n">
        <f aca="false">IF(OR('정원(명)'!H12=0,'현원(명)'!H12=0),"",'현원(명)'!H12/'정원(명)'!H12)</f>
        <v>0.836141006141584</v>
      </c>
      <c r="I13" s="13" t="n">
        <f aca="false">IF(OR('정원(명)'!I12=0,'현원(명)'!I12=0),"",'현원(명)'!I12/'정원(명)'!I12)</f>
        <v>0.847349899145959</v>
      </c>
      <c r="J13" s="13" t="n">
        <f aca="false">IF(OR('정원(명)'!J12=0,'현원(명)'!J12=0),"",'현원(명)'!J12/'정원(명)'!J12)</f>
        <v>0.841327552557694</v>
      </c>
      <c r="K13" s="13" t="n">
        <f aca="false">IF(OR('정원(명)'!K12=0,'현원(명)'!K12=0),"",'현원(명)'!K12/'정원(명)'!K12)</f>
        <v>0.837632345626377</v>
      </c>
      <c r="L13" s="13" t="n">
        <f aca="false">IF(OR('정원(명)'!L12=0,'현원(명)'!L12=0),"",'현원(명)'!L12/'정원(명)'!L12)</f>
        <v>0.787637524256074</v>
      </c>
      <c r="M13" s="13" t="n">
        <f aca="false">IF(OR('정원(명)'!M12=0,'현원(명)'!M12=0),"",'현원(명)'!M12/'정원(명)'!M12)</f>
        <v>0.792250756346636</v>
      </c>
      <c r="N13" s="13" t="n">
        <f aca="false">IF(OR('정원(명)'!N12=0,'현원(명)'!N12=0),"",'현원(명)'!N12/'정원(명)'!N12)</f>
        <v>0.781285866124938</v>
      </c>
    </row>
    <row r="14" customFormat="false" ht="15" hidden="false" customHeight="false" outlineLevel="0" collapsed="false">
      <c r="A14" s="8" t="s">
        <v>11</v>
      </c>
      <c r="B14" s="13" t="n">
        <f aca="false">IF(OR('정원(명)'!B13=0,'현원(명)'!B13=0),"",'현원(명)'!B13/'정원(명)'!B13)</f>
        <v>0.7951932520654</v>
      </c>
      <c r="C14" s="13" t="n">
        <f aca="false">IF(OR('정원(명)'!C13=0,'현원(명)'!C13=0),"",'현원(명)'!C13/'정원(명)'!C13)</f>
        <v>0.803693596022281</v>
      </c>
      <c r="D14" s="13" t="n">
        <f aca="false">IF(OR('정원(명)'!D13=0,'현원(명)'!D13=0),"",'현원(명)'!D13/'정원(명)'!D13)</f>
        <v>0.817771378801614</v>
      </c>
      <c r="E14" s="13" t="n">
        <f aca="false">IF(OR('정원(명)'!E13=0,'현원(명)'!E13=0),"",'현원(명)'!E13/'정원(명)'!E13)</f>
        <v>0.793600253315977</v>
      </c>
      <c r="F14" s="13" t="n">
        <f aca="false">IF(OR('정원(명)'!F13=0,'현원(명)'!F13=0),"",'현원(명)'!F13/'정원(명)'!F13)</f>
        <v>0.784466569818942</v>
      </c>
      <c r="G14" s="13" t="n">
        <f aca="false">IF(OR('정원(명)'!G13=0,'현원(명)'!G13=0),"",'현원(명)'!G13/'정원(명)'!G13)</f>
        <v>0.758067410890556</v>
      </c>
      <c r="H14" s="13" t="n">
        <f aca="false">IF(OR('정원(명)'!H13=0,'현원(명)'!H13=0),"",'현원(명)'!H13/'정원(명)'!H13)</f>
        <v>0.767221732098221</v>
      </c>
      <c r="I14" s="13" t="n">
        <f aca="false">IF(OR('정원(명)'!I13=0,'현원(명)'!I13=0),"",'현원(명)'!I13/'정원(명)'!I13)</f>
        <v>0.76718785067704</v>
      </c>
      <c r="J14" s="13" t="n">
        <f aca="false">IF(OR('정원(명)'!J13=0,'현원(명)'!J13=0),"",'현원(명)'!J13/'정원(명)'!J13)</f>
        <v>0.767027395924734</v>
      </c>
      <c r="K14" s="13" t="n">
        <f aca="false">IF(OR('정원(명)'!K13=0,'현원(명)'!K13=0),"",'현원(명)'!K13/'정원(명)'!K13)</f>
        <v>0.759376502644655</v>
      </c>
      <c r="L14" s="13" t="n">
        <f aca="false">IF(OR('정원(명)'!L13=0,'현원(명)'!L13=0),"",'현원(명)'!L13/'정원(명)'!L13)</f>
        <v>0.728653454343397</v>
      </c>
      <c r="M14" s="13" t="n">
        <f aca="false">IF(OR('정원(명)'!M13=0,'현원(명)'!M13=0),"",'현원(명)'!M13/'정원(명)'!M13)</f>
        <v>0.736309308606793</v>
      </c>
      <c r="N14" s="13" t="n">
        <f aca="false">IF(OR('정원(명)'!N13=0,'현원(명)'!N13=0),"",'현원(명)'!N13/'정원(명)'!N13)</f>
        <v>0.718636613523914</v>
      </c>
    </row>
    <row r="15" customFormat="false" ht="15" hidden="false" customHeight="false" outlineLevel="0" collapsed="false">
      <c r="A15" s="8" t="s">
        <v>12</v>
      </c>
      <c r="B15" s="13" t="n">
        <f aca="false">IF(OR('정원(명)'!B14=0,'현원(명)'!B14=0),"",'현원(명)'!B14/'정원(명)'!B14)</f>
        <v>0.789069069069069</v>
      </c>
      <c r="C15" s="13" t="n">
        <f aca="false">IF(OR('정원(명)'!C14=0,'현원(명)'!C14=0),"",'현원(명)'!C14/'정원(명)'!C14)</f>
        <v>0.81539501478665</v>
      </c>
      <c r="D15" s="13" t="n">
        <f aca="false">IF(OR('정원(명)'!D14=0,'현원(명)'!D14=0),"",'현원(명)'!D14/'정원(명)'!D14)</f>
        <v>0.835638902419224</v>
      </c>
      <c r="E15" s="13" t="n">
        <f aca="false">IF(OR('정원(명)'!E14=0,'현원(명)'!E14=0),"",'현원(명)'!E14/'정원(명)'!E14)</f>
        <v>0.820478490253272</v>
      </c>
      <c r="F15" s="13" t="n">
        <f aca="false">IF(OR('정원(명)'!F14=0,'현원(명)'!F14=0),"",'현원(명)'!F14/'정원(명)'!F14)</f>
        <v>0.814550574239884</v>
      </c>
      <c r="G15" s="13" t="n">
        <f aca="false">IF(OR('정원(명)'!G14=0,'현원(명)'!G14=0),"",'현원(명)'!G14/'정원(명)'!G14)</f>
        <v>0.782802157198786</v>
      </c>
      <c r="H15" s="13" t="n">
        <f aca="false">IF(OR('정원(명)'!H14=0,'현원(명)'!H14=0),"",'현원(명)'!H14/'정원(명)'!H14)</f>
        <v>0.792514419724916</v>
      </c>
      <c r="I15" s="13" t="n">
        <f aca="false">IF(OR('정원(명)'!I14=0,'현원(명)'!I14=0),"",'현원(명)'!I14/'정원(명)'!I14)</f>
        <v>0.797289955578281</v>
      </c>
      <c r="J15" s="13" t="n">
        <f aca="false">IF(OR('정원(명)'!J14=0,'현원(명)'!J14=0),"",'현원(명)'!J14/'정원(명)'!J14)</f>
        <v>0.796817565470259</v>
      </c>
      <c r="K15" s="13" t="n">
        <f aca="false">IF(OR('정원(명)'!K14=0,'현원(명)'!K14=0),"",'현원(명)'!K14/'정원(명)'!K14)</f>
        <v>0.786285828356595</v>
      </c>
      <c r="L15" s="13" t="n">
        <f aca="false">IF(OR('정원(명)'!L14=0,'현원(명)'!L14=0),"",'현원(명)'!L14/'정원(명)'!L14)</f>
        <v>0.746058318101843</v>
      </c>
      <c r="M15" s="13" t="n">
        <f aca="false">IF(OR('정원(명)'!M14=0,'현원(명)'!M14=0),"",'현원(명)'!M14/'정원(명)'!M14)</f>
        <v>0.737826665732502</v>
      </c>
      <c r="N15" s="13" t="n">
        <f aca="false">IF(OR('정원(명)'!N14=0,'현원(명)'!N14=0),"",'현원(명)'!N14/'정원(명)'!N14)</f>
        <v>0.715594979572307</v>
      </c>
    </row>
    <row r="16" customFormat="false" ht="15" hidden="false" customHeight="false" outlineLevel="0" collapsed="false">
      <c r="A16" s="8" t="s">
        <v>13</v>
      </c>
      <c r="B16" s="13" t="n">
        <f aca="false">IF(OR('정원(명)'!B15=0,'현원(명)'!B15=0),"",'현원(명)'!B15/'정원(명)'!B15)</f>
        <v>0.811470960738194</v>
      </c>
      <c r="C16" s="13" t="n">
        <f aca="false">IF(OR('정원(명)'!C15=0,'현원(명)'!C15=0),"",'현원(명)'!C15/'정원(명)'!C15)</f>
        <v>0.808179436385712</v>
      </c>
      <c r="D16" s="13" t="n">
        <f aca="false">IF(OR('정원(명)'!D15=0,'현원(명)'!D15=0),"",'현원(명)'!D15/'정원(명)'!D15)</f>
        <v>0.833150587046779</v>
      </c>
      <c r="E16" s="13" t="n">
        <f aca="false">IF(OR('정원(명)'!E15=0,'현원(명)'!E15=0),"",'현원(명)'!E15/'정원(명)'!E15)</f>
        <v>0.78745205728162</v>
      </c>
      <c r="F16" s="13" t="n">
        <f aca="false">IF(OR('정원(명)'!F15=0,'현원(명)'!F15=0),"",'현원(명)'!F15/'정원(명)'!F15)</f>
        <v>0.796394244440653</v>
      </c>
      <c r="G16" s="13" t="n">
        <f aca="false">IF(OR('정원(명)'!G15=0,'현원(명)'!G15=0),"",'현원(명)'!G15/'정원(명)'!G15)</f>
        <v>0.785498834605365</v>
      </c>
      <c r="H16" s="13" t="n">
        <f aca="false">IF(OR('정원(명)'!H15=0,'현원(명)'!H15=0),"",'현원(명)'!H15/'정원(명)'!H15)</f>
        <v>0.79151024134193</v>
      </c>
      <c r="I16" s="13" t="n">
        <f aca="false">IF(OR('정원(명)'!I15=0,'현원(명)'!I15=0),"",'현원(명)'!I15/'정원(명)'!I15)</f>
        <v>0.797675109729334</v>
      </c>
      <c r="J16" s="13" t="n">
        <f aca="false">IF(OR('정원(명)'!J15=0,'현원(명)'!J15=0),"",'현원(명)'!J15/'정원(명)'!J15)</f>
        <v>0.794100918176647</v>
      </c>
      <c r="K16" s="13" t="n">
        <f aca="false">IF(OR('정원(명)'!K15=0,'현원(명)'!K15=0),"",'현원(명)'!K15/'정원(명)'!K15)</f>
        <v>0.7896779810634</v>
      </c>
      <c r="L16" s="13" t="n">
        <f aca="false">IF(OR('정원(명)'!L15=0,'현원(명)'!L15=0),"",'현원(명)'!L15/'정원(명)'!L15)</f>
        <v>0.742432388501982</v>
      </c>
      <c r="M16" s="13" t="n">
        <f aca="false">IF(OR('정원(명)'!M15=0,'현원(명)'!M15=0),"",'현원(명)'!M15/'정원(명)'!M15)</f>
        <v>0.738083730651166</v>
      </c>
      <c r="N16" s="13" t="n">
        <f aca="false">IF(OR('정원(명)'!N15=0,'현원(명)'!N15=0),"",'현원(명)'!N15/'정원(명)'!N15)</f>
        <v>0.716289282283519</v>
      </c>
    </row>
    <row r="17" customFormat="false" ht="15" hidden="false" customHeight="false" outlineLevel="0" collapsed="false">
      <c r="A17" s="8" t="s">
        <v>14</v>
      </c>
      <c r="B17" s="13" t="n">
        <f aca="false">IF(OR('정원(명)'!B16=0,'현원(명)'!B16=0),"",'현원(명)'!B16/'정원(명)'!B16)</f>
        <v>0.777058419243986</v>
      </c>
      <c r="C17" s="13" t="n">
        <f aca="false">IF(OR('정원(명)'!C16=0,'현원(명)'!C16=0),"",'현원(명)'!C16/'정원(명)'!C16)</f>
        <v>0.785612104539202</v>
      </c>
      <c r="D17" s="13" t="n">
        <f aca="false">IF(OR('정원(명)'!D16=0,'현원(명)'!D16=0),"",'현원(명)'!D16/'정원(명)'!D16)</f>
        <v>0.81374451000997</v>
      </c>
      <c r="E17" s="13" t="n">
        <f aca="false">IF(OR('정원(명)'!E16=0,'현원(명)'!E16=0),"",'현원(명)'!E16/'정원(명)'!E16)</f>
        <v>0.785437810084995</v>
      </c>
      <c r="F17" s="13" t="n">
        <f aca="false">IF(OR('정원(명)'!F16=0,'현원(명)'!F16=0),"",'현원(명)'!F16/'정원(명)'!F16)</f>
        <v>0.774865493191631</v>
      </c>
      <c r="G17" s="13" t="n">
        <f aca="false">IF(OR('정원(명)'!G16=0,'현원(명)'!G16=0),"",'현원(명)'!G16/'정원(명)'!G16)</f>
        <v>0.748948981529198</v>
      </c>
      <c r="H17" s="13" t="n">
        <f aca="false">IF(OR('정원(명)'!H16=0,'현원(명)'!H16=0),"",'현원(명)'!H16/'정원(명)'!H16)</f>
        <v>0.747755260890112</v>
      </c>
      <c r="I17" s="13" t="n">
        <f aca="false">IF(OR('정원(명)'!I16=0,'현원(명)'!I16=0),"",'현원(명)'!I16/'정원(명)'!I16)</f>
        <v>0.748097631012204</v>
      </c>
      <c r="J17" s="13" t="n">
        <f aca="false">IF(OR('정원(명)'!J16=0,'현원(명)'!J16=0),"",'현원(명)'!J16/'정원(명)'!J16)</f>
        <v>0.752393359185652</v>
      </c>
      <c r="K17" s="13" t="n">
        <f aca="false">IF(OR('정원(명)'!K16=0,'현원(명)'!K16=0),"",'현원(명)'!K16/'정원(명)'!K16)</f>
        <v>0.749241901583583</v>
      </c>
      <c r="L17" s="13" t="n">
        <f aca="false">IF(OR('정원(명)'!L16=0,'현원(명)'!L16=0),"",'현원(명)'!L16/'정원(명)'!L16)</f>
        <v>0.707438378797586</v>
      </c>
      <c r="M17" s="13" t="n">
        <f aca="false">IF(OR('정원(명)'!M16=0,'현원(명)'!M16=0),"",'현원(명)'!M16/'정원(명)'!M16)</f>
        <v>0.704069651921027</v>
      </c>
      <c r="N17" s="13" t="n">
        <f aca="false">IF(OR('정원(명)'!N16=0,'현원(명)'!N16=0),"",'현원(명)'!N16/'정원(명)'!N16)</f>
        <v>0.672277189456597</v>
      </c>
    </row>
    <row r="18" customFormat="false" ht="15" hidden="false" customHeight="false" outlineLevel="0" collapsed="false">
      <c r="A18" s="8" t="s">
        <v>15</v>
      </c>
      <c r="B18" s="13" t="n">
        <f aca="false">IF(OR('정원(명)'!B17=0,'현원(명)'!B17=0),"",'현원(명)'!B17/'정원(명)'!B17)</f>
        <v>0.780069694244604</v>
      </c>
      <c r="C18" s="13" t="n">
        <f aca="false">IF(OR('정원(명)'!C17=0,'현원(명)'!C17=0),"",'현원(명)'!C17/'정원(명)'!C17)</f>
        <v>0.770052963053741</v>
      </c>
      <c r="D18" s="13" t="n">
        <f aca="false">IF(OR('정원(명)'!D17=0,'현원(명)'!D17=0),"",'현원(명)'!D17/'정원(명)'!D17)</f>
        <v>0.79912419060269</v>
      </c>
      <c r="E18" s="13" t="n">
        <f aca="false">IF(OR('정원(명)'!E17=0,'현원(명)'!E17=0),"",'현원(명)'!E17/'정원(명)'!E17)</f>
        <v>0.754170540101544</v>
      </c>
      <c r="F18" s="13" t="n">
        <f aca="false">IF(OR('정원(명)'!F17=0,'현원(명)'!F17=0),"",'현원(명)'!F17/'정원(명)'!F17)</f>
        <v>0.766336861481822</v>
      </c>
      <c r="G18" s="13" t="n">
        <f aca="false">IF(OR('정원(명)'!G17=0,'현원(명)'!G17=0),"",'현원(명)'!G17/'정원(명)'!G17)</f>
        <v>0.754006256783503</v>
      </c>
      <c r="H18" s="13" t="n">
        <f aca="false">IF(OR('정원(명)'!H17=0,'현원(명)'!H17=0),"",'현원(명)'!H17/'정원(명)'!H17)</f>
        <v>0.755827567855242</v>
      </c>
      <c r="I18" s="13" t="n">
        <f aca="false">IF(OR('정원(명)'!I17=0,'현원(명)'!I17=0),"",'현원(명)'!I17/'정원(명)'!I17)</f>
        <v>0.76509943994216</v>
      </c>
      <c r="J18" s="13" t="n">
        <f aca="false">IF(OR('정원(명)'!J17=0,'현원(명)'!J17=0),"",'현원(명)'!J17/'정원(명)'!J17)</f>
        <v>0.758959802420572</v>
      </c>
      <c r="K18" s="13" t="n">
        <f aca="false">IF(OR('정원(명)'!K17=0,'현원(명)'!K17=0),"",'현원(명)'!K17/'정원(명)'!K17)</f>
        <v>0.749354307151121</v>
      </c>
      <c r="L18" s="13" t="n">
        <f aca="false">IF(OR('정원(명)'!L17=0,'현원(명)'!L17=0),"",'현원(명)'!L17/'정원(명)'!L17)</f>
        <v>0.714168332495309</v>
      </c>
      <c r="M18" s="13" t="n">
        <f aca="false">IF(OR('정원(명)'!M17=0,'현원(명)'!M17=0),"",'현원(명)'!M17/'정원(명)'!M17)</f>
        <v>0.707969390121357</v>
      </c>
      <c r="N18" s="13" t="n">
        <f aca="false">IF(OR('정원(명)'!N17=0,'현원(명)'!N17=0),"",'현원(명)'!N17/'정원(명)'!N17)</f>
        <v>0.678212955656159</v>
      </c>
    </row>
    <row r="19" customFormat="false" ht="15" hidden="false" customHeight="false" outlineLevel="0" collapsed="false">
      <c r="A19" s="8" t="s">
        <v>16</v>
      </c>
      <c r="B19" s="13" t="n">
        <f aca="false">IF(OR('정원(명)'!B18=0,'현원(명)'!B18=0),"",'현원(명)'!B18/'정원(명)'!B18)</f>
        <v>0.787274542316673</v>
      </c>
      <c r="C19" s="13" t="n">
        <f aca="false">IF(OR('정원(명)'!C18=0,'현원(명)'!C18=0),"",'현원(명)'!C18/'정원(명)'!C18)</f>
        <v>0.796124616398078</v>
      </c>
      <c r="D19" s="13" t="n">
        <f aca="false">IF(OR('정원(명)'!D18=0,'현원(명)'!D18=0),"",'현원(명)'!D18/'정원(명)'!D18)</f>
        <v>0.842415009125499</v>
      </c>
      <c r="E19" s="13" t="n">
        <f aca="false">IF(OR('정원(명)'!E18=0,'현원(명)'!E18=0),"",'현원(명)'!E18/'정원(명)'!E18)</f>
        <v>0.802817325120522</v>
      </c>
      <c r="F19" s="13" t="n">
        <f aca="false">IF(OR('정원(명)'!F18=0,'현원(명)'!F18=0),"",'현원(명)'!F18/'정원(명)'!F18)</f>
        <v>0.811694843998679</v>
      </c>
      <c r="G19" s="13" t="n">
        <f aca="false">IF(OR('정원(명)'!G18=0,'현원(명)'!G18=0),"",'현원(명)'!G18/'정원(명)'!G18)</f>
        <v>0.805655684383729</v>
      </c>
      <c r="H19" s="13" t="n">
        <f aca="false">IF(OR('정원(명)'!H18=0,'현원(명)'!H18=0),"",'현원(명)'!H18/'정원(명)'!H18)</f>
        <v>0.815409385430984</v>
      </c>
      <c r="I19" s="13" t="n">
        <f aca="false">IF(OR('정원(명)'!I18=0,'현원(명)'!I18=0),"",'현원(명)'!I18/'정원(명)'!I18)</f>
        <v>0.820799138974842</v>
      </c>
      <c r="J19" s="13" t="n">
        <f aca="false">IF(OR('정원(명)'!J18=0,'현원(명)'!J18=0),"",'현원(명)'!J18/'정원(명)'!J18)</f>
        <v>0.797944246690397</v>
      </c>
      <c r="K19" s="13" t="n">
        <f aca="false">IF(OR('정원(명)'!K18=0,'현원(명)'!K18=0),"",'현원(명)'!K18/'정원(명)'!K18)</f>
        <v>0.784345876487025</v>
      </c>
      <c r="L19" s="13" t="n">
        <f aca="false">IF(OR('정원(명)'!L18=0,'현원(명)'!L18=0),"",'현원(명)'!L18/'정원(명)'!L18)</f>
        <v>0.752679631232764</v>
      </c>
      <c r="M19" s="13" t="n">
        <f aca="false">IF(OR('정원(명)'!M18=0,'현원(명)'!M18=0),"",'현원(명)'!M18/'정원(명)'!M18)</f>
        <v>0.737375456109504</v>
      </c>
      <c r="N19" s="13" t="n">
        <f aca="false">IF(OR('정원(명)'!N18=0,'현원(명)'!N18=0),"",'현원(명)'!N18/'정원(명)'!N18)</f>
        <v>0.711365773511207</v>
      </c>
    </row>
    <row r="20" customFormat="false" ht="15" hidden="false" customHeight="false" outlineLevel="0" collapsed="false">
      <c r="A20" s="8" t="s">
        <v>17</v>
      </c>
      <c r="B20" s="13" t="n">
        <f aca="false">IF(OR('정원(명)'!B19=0,'현원(명)'!B19=0),"",'현원(명)'!B19/'정원(명)'!B19)</f>
        <v>0.849332420403971</v>
      </c>
      <c r="C20" s="13" t="n">
        <f aca="false">IF(OR('정원(명)'!C19=0,'현원(명)'!C19=0),"",'현원(명)'!C19/'정원(명)'!C19)</f>
        <v>0.835396201702685</v>
      </c>
      <c r="D20" s="13" t="n">
        <f aca="false">IF(OR('정원(명)'!D19=0,'현원(명)'!D19=0),"",'현원(명)'!D19/'정원(명)'!D19)</f>
        <v>0.831961888263317</v>
      </c>
      <c r="E20" s="13" t="n">
        <f aca="false">IF(OR('정원(명)'!E19=0,'현원(명)'!E19=0),"",'현원(명)'!E19/'정원(명)'!E19)</f>
        <v>0.821334940485159</v>
      </c>
      <c r="F20" s="13" t="n">
        <f aca="false">IF(OR('정원(명)'!F19=0,'현원(명)'!F19=0),"",'현원(명)'!F19/'정원(명)'!F19)</f>
        <v>0.830137235299464</v>
      </c>
      <c r="G20" s="13" t="n">
        <f aca="false">IF(OR('정원(명)'!G19=0,'현원(명)'!G19=0),"",'현원(명)'!G19/'정원(명)'!G19)</f>
        <v>0.825738653670423</v>
      </c>
      <c r="H20" s="13" t="n">
        <f aca="false">IF(OR('정원(명)'!H19=0,'현원(명)'!H19=0),"",'현원(명)'!H19/'정원(명)'!H19)</f>
        <v>0.873460354118553</v>
      </c>
      <c r="I20" s="13" t="n">
        <f aca="false">IF(OR('정원(명)'!I19=0,'현원(명)'!I19=0),"",'현원(명)'!I19/'정원(명)'!I19)</f>
        <v>0.890602993678556</v>
      </c>
      <c r="J20" s="13" t="n">
        <f aca="false">IF(OR('정원(명)'!J19=0,'현원(명)'!J19=0),"",'현원(명)'!J19/'정원(명)'!J19)</f>
        <v>0.883405676126878</v>
      </c>
      <c r="K20" s="13" t="n">
        <f aca="false">IF(OR('정원(명)'!K19=0,'현원(명)'!K19=0),"",'현원(명)'!K19/'정원(명)'!K19)</f>
        <v>0.851595241314046</v>
      </c>
      <c r="L20" s="13" t="n">
        <f aca="false">IF(OR('정원(명)'!L19=0,'현원(명)'!L19=0),"",'현원(명)'!L19/'정원(명)'!L19)</f>
        <v>0.821070407002791</v>
      </c>
      <c r="M20" s="13" t="n">
        <f aca="false">IF(OR('정원(명)'!M19=0,'현원(명)'!M19=0),"",'현원(명)'!M19/'정원(명)'!M19)</f>
        <v>0.809803780118309</v>
      </c>
      <c r="N20" s="13" t="n">
        <f aca="false">IF(OR('정원(명)'!N19=0,'현원(명)'!N19=0),"",'현원(명)'!N19/'정원(명)'!N19)</f>
        <v>0.78929539295393</v>
      </c>
    </row>
    <row r="21" customFormat="false" ht="17.15" hidden="false" customHeight="false" outlineLevel="0" collapsed="false">
      <c r="A21" s="8" t="s">
        <v>29</v>
      </c>
      <c r="B21" s="13" t="n">
        <f aca="false">IF(OR('정원(명)'!B20=0,'현원(명)'!B20=0),"",'현원(명)'!B20/'정원(명)'!B20)</f>
        <v>0.802064617809299</v>
      </c>
      <c r="C21" s="13" t="n">
        <f aca="false">IF(OR('정원(명)'!C20=0,'현원(명)'!C20=0),"",'현원(명)'!C20/'정원(명)'!C20)</f>
        <v>0.814832520885907</v>
      </c>
      <c r="D21" s="13" t="n">
        <f aca="false">IF(OR('정원(명)'!D20=0,'현원(명)'!D20=0),"",'현원(명)'!D20/'정원(명)'!D20)</f>
        <v>0.841019398894554</v>
      </c>
      <c r="E21" s="13" t="n">
        <f aca="false">IF(OR('정원(명)'!E20=0,'현원(명)'!E20=0),"",'현원(명)'!E20/'정원(명)'!E20)</f>
        <v>0.813037860872062</v>
      </c>
      <c r="F21" s="13" t="n">
        <f aca="false">IF(OR('정원(명)'!F20=0,'현원(명)'!F20=0),"",'현원(명)'!F20/'정원(명)'!F20)</f>
        <v>0.799534253345214</v>
      </c>
      <c r="G21" s="13" t="n">
        <f aca="false">IF(OR('정원(명)'!G20=0,'현원(명)'!G20=0),"",'현원(명)'!G20/'정원(명)'!G20)</f>
        <v>0.768404668101554</v>
      </c>
      <c r="H21" s="13" t="n">
        <f aca="false">IF(OR('정원(명)'!H20=0,'현원(명)'!H20=0),"",'현원(명)'!H20/'정원(명)'!H20)</f>
        <v>0.764032056135721</v>
      </c>
      <c r="I21" s="13" t="n">
        <f aca="false">IF(OR('정원(명)'!I20=0,'현원(명)'!I20=0),"",'현원(명)'!I20/'정원(명)'!I20)</f>
        <v>0.75273782128642</v>
      </c>
      <c r="J21" s="13" t="n">
        <f aca="false">IF(OR('정원(명)'!J20=0,'현원(명)'!J20=0),"",'현원(명)'!J20/'정원(명)'!J20)</f>
        <v>0.735916199651089</v>
      </c>
      <c r="K21" s="13" t="n">
        <f aca="false">IF(OR('정원(명)'!K20=0,'현원(명)'!K20=0),"",'현원(명)'!K20/'정원(명)'!K20)</f>
        <v>0.721785434359269</v>
      </c>
      <c r="L21" s="13" t="n">
        <f aca="false">IF(OR('정원(명)'!L20=0,'현원(명)'!L20=0),"",'현원(명)'!L20/'정원(명)'!L20)</f>
        <v>0.692024057011353</v>
      </c>
      <c r="M21" s="13" t="n">
        <f aca="false">IF(OR('정원(명)'!M20=0,'현원(명)'!M20=0),"",'현원(명)'!M20/'정원(명)'!M20)</f>
        <v>0.703154039826047</v>
      </c>
      <c r="N21" s="13" t="n">
        <f aca="false">IF(OR('정원(명)'!N20=0,'현원(명)'!N20=0),"",'현원(명)'!N20/'정원(명)'!N20)</f>
        <v>0.688831913275751</v>
      </c>
    </row>
    <row r="22" customFormat="false" ht="15" hidden="false" customHeight="false" outlineLevel="0" collapsed="false">
      <c r="A22" s="6" t="s">
        <v>30</v>
      </c>
      <c r="B22" s="14" t="n">
        <f aca="false">IF(OR('정원(명)'!B21=0,'현원(명)'!B21=0),"",'현원(명)'!B21/'정원(명)'!B21)</f>
        <v>0.822137347701194</v>
      </c>
      <c r="C22" s="14" t="n">
        <f aca="false">IF(OR('정원(명)'!C21=0,'현원(명)'!C21=0),"",'현원(명)'!C21/'정원(명)'!C21)</f>
        <v>0.831548853600732</v>
      </c>
      <c r="D22" s="14" t="n">
        <f aca="false">IF(OR('정원(명)'!D21=0,'현원(명)'!D21=0),"",'현원(명)'!D21/'정원(명)'!D21)</f>
        <v>0.863782052212737</v>
      </c>
      <c r="E22" s="14" t="n">
        <f aca="false">IF(OR('정원(명)'!E21=0,'현원(명)'!E21=0),"",'현원(명)'!E21/'정원(명)'!E21)</f>
        <v>0.834229567131698</v>
      </c>
      <c r="F22" s="14" t="n">
        <f aca="false">IF(OR('정원(명)'!F21=0,'현원(명)'!F21=0),"",'현원(명)'!F21/'정원(명)'!F21)</f>
        <v>0.831179584807562</v>
      </c>
      <c r="G22" s="14" t="n">
        <f aca="false">IF(OR('정원(명)'!G21=0,'현원(명)'!G21=0),"",'현원(명)'!G21/'정원(명)'!G21)</f>
        <v>0.811255284587349</v>
      </c>
      <c r="H22" s="14" t="n">
        <f aca="false">IF(OR('정원(명)'!H21=0,'현원(명)'!H21=0),"",'현원(명)'!H21/'정원(명)'!H21)</f>
        <v>0.821183392710828</v>
      </c>
      <c r="I22" s="14" t="n">
        <f aca="false">IF(OR('정원(명)'!I21=0,'현원(명)'!I21=0),"",'현원(명)'!I21/'정원(명)'!I21)</f>
        <v>0.825595197093481</v>
      </c>
      <c r="J22" s="14" t="n">
        <f aca="false">IF(OR('정원(명)'!J21=0,'현원(명)'!J21=0),"",'현원(명)'!J21/'정원(명)'!J21)</f>
        <v>0.817250121801695</v>
      </c>
      <c r="K22" s="14" t="n">
        <f aca="false">IF(OR('정원(명)'!K21=0,'현원(명)'!K21=0),"",'현원(명)'!K21/'정원(명)'!K21)</f>
        <v>0.809239936853575</v>
      </c>
      <c r="L22" s="14" t="n">
        <f aca="false">IF(OR('정원(명)'!L21=0,'현원(명)'!L21=0),"",'현원(명)'!L21/'정원(명)'!L21)</f>
        <v>0.764248952869935</v>
      </c>
      <c r="M22" s="14" t="n">
        <f aca="false">IF(OR('정원(명)'!M21=0,'현원(명)'!M21=0),"",'현원(명)'!M21/'정원(명)'!M21)</f>
        <v>0.760654280974076</v>
      </c>
      <c r="N22" s="14" t="n">
        <f aca="false">IF(OR('정원(명)'!N21=0,'현원(명)'!N21=0),"",'현원(명)'!N21/'정원(명)'!N21)</f>
        <v>0.741830016672468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4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14" min="2" style="0" width="10"/>
  </cols>
  <sheetData>
    <row r="1" customFormat="false" ht="21.6" hidden="false" customHeight="false" outlineLevel="0" collapsed="false">
      <c r="A1" s="1" t="s">
        <v>31</v>
      </c>
    </row>
    <row r="2" customFormat="false" ht="15" hidden="false" customHeight="false" outlineLevel="0" collapsed="false">
      <c r="A2" s="11" t="s">
        <v>32</v>
      </c>
    </row>
    <row r="4" customFormat="false" ht="17.15" hidden="false" customHeight="false" outlineLevel="0" collapsed="false">
      <c r="A4" s="12" t="s">
        <v>33</v>
      </c>
    </row>
    <row r="5" customFormat="false" ht="15" hidden="false" customHeight="false" outlineLevel="0" collapsed="false">
      <c r="A5" s="3" t="s">
        <v>2</v>
      </c>
      <c r="B5" s="3" t="n">
        <v>2010</v>
      </c>
      <c r="C5" s="3" t="n">
        <v>2011</v>
      </c>
      <c r="D5" s="3" t="n">
        <v>2012</v>
      </c>
      <c r="E5" s="3" t="n">
        <v>2013</v>
      </c>
      <c r="F5" s="3" t="n">
        <v>2014</v>
      </c>
      <c r="G5" s="3" t="n">
        <v>2015</v>
      </c>
      <c r="H5" s="3" t="n">
        <v>2016</v>
      </c>
      <c r="I5" s="3" t="n">
        <v>2017</v>
      </c>
      <c r="J5" s="3" t="n">
        <v>2018</v>
      </c>
      <c r="K5" s="3" t="n">
        <v>2019</v>
      </c>
      <c r="L5" s="3" t="n">
        <v>2020</v>
      </c>
      <c r="M5" s="3" t="n">
        <v>2021</v>
      </c>
      <c r="N5" s="3" t="n">
        <v>2022</v>
      </c>
    </row>
    <row r="6" customFormat="false" ht="15" hidden="false" customHeight="false" outlineLevel="0" collapsed="false">
      <c r="A6" s="8" t="s">
        <v>3</v>
      </c>
      <c r="B6" s="15" t="n">
        <f aca="false">IF(OR(어린이집수!C5=0,'정원(명)'!B5=0),"",'정원(명)'!B5/어린이집수!C5)</f>
        <v>40.2621805792164</v>
      </c>
      <c r="C6" s="15" t="n">
        <f aca="false">IF(OR(어린이집수!D5=0,'정원(명)'!C5=0),"",'정원(명)'!C5/어린이집수!D5)</f>
        <v>39.8755118755119</v>
      </c>
      <c r="D6" s="15" t="n">
        <f aca="false">IF(OR(어린이집수!E5=0,'정원(명)'!D5=0),"",'정원(명)'!D5/어린이집수!E5)</f>
        <v>40.0535331905782</v>
      </c>
      <c r="E6" s="15" t="n">
        <f aca="false">IF(OR(어린이집수!F5=0,'정원(명)'!E5=0),"",'정원(명)'!E5/어린이집수!F5)</f>
        <v>40.1153960249184</v>
      </c>
      <c r="F6" s="15" t="n">
        <f aca="false">IF(OR(어린이집수!G5=0,'정원(명)'!F5=0),"",'정원(명)'!F5/어린이집수!G5)</f>
        <v>40.5870045675556</v>
      </c>
      <c r="G6" s="15" t="n">
        <f aca="false">IF(OR(어린이집수!H5=0,'정원(명)'!G5=0),"",'정원(명)'!G5/어린이집수!H5)</f>
        <v>41.5477417399212</v>
      </c>
      <c r="H6" s="15" t="n">
        <f aca="false">IF(OR(어린이집수!I5=0,'정원(명)'!H5=0),"",'정원(명)'!H5/어린이집수!I5)</f>
        <v>42.4357726130653</v>
      </c>
      <c r="I6" s="15" t="n">
        <f aca="false">IF(OR(어린이집수!J5=0,'정원(명)'!I5=0),"",'정원(명)'!I5/어린이집수!J5)</f>
        <v>43.0613556055252</v>
      </c>
      <c r="J6" s="15" t="n">
        <f aca="false">IF(OR(어린이집수!K5=0,'정원(명)'!J5=0),"",'정원(명)'!J5/어린이집수!K5)</f>
        <v>43.8010985352863</v>
      </c>
      <c r="K6" s="15" t="n">
        <f aca="false">IF(OR(어린이집수!L5=0,'정원(명)'!K5=0),"",'정원(명)'!K5/어린이집수!L5)</f>
        <v>44.6714636714637</v>
      </c>
      <c r="L6" s="15" t="n">
        <f aca="false">IF(OR(어린이집수!M5=0,'정원(명)'!L5=0),"",'정원(명)'!L5/어린이집수!M5)</f>
        <v>45.7845437616387</v>
      </c>
      <c r="M6" s="15" t="n">
        <f aca="false">IF(OR(어린이집수!N5=0,'정원(명)'!M5=0),"",'정원(명)'!M5/어린이집수!N5)</f>
        <v>46.6789463260051</v>
      </c>
      <c r="N6" s="15" t="n">
        <f aca="false">IF(OR(어린이집수!O5=0,'정원(명)'!N5=0),"",'정원(명)'!N5/어린이집수!O5)</f>
        <v>47.4592529711375</v>
      </c>
    </row>
    <row r="7" customFormat="false" ht="15" hidden="false" customHeight="false" outlineLevel="0" collapsed="false">
      <c r="A7" s="8" t="s">
        <v>4</v>
      </c>
      <c r="B7" s="15" t="n">
        <f aca="false">IF(OR(어린이집수!C6=0,'정원(명)'!B6=0),"",'정원(명)'!B6/어린이집수!C6)</f>
        <v>47.084665482534</v>
      </c>
      <c r="C7" s="15" t="n">
        <f aca="false">IF(OR(어린이집수!D6=0,'정원(명)'!C6=0),"",'정원(명)'!C6/어린이집수!D6)</f>
        <v>46.3120689655172</v>
      </c>
      <c r="D7" s="15" t="n">
        <f aca="false">IF(OR(어린이집수!E6=0,'정원(명)'!D6=0),"",'정원(명)'!D6/어린이집수!E6)</f>
        <v>46.3732240437158</v>
      </c>
      <c r="E7" s="15" t="n">
        <f aca="false">IF(OR(어린이집수!F6=0,'정원(명)'!E6=0),"",'정원(명)'!E6/어린이집수!F6)</f>
        <v>45.987348444913</v>
      </c>
      <c r="F7" s="15" t="n">
        <f aca="false">IF(OR(어린이집수!G6=0,'정원(명)'!F6=0),"",'정원(명)'!F6/어린이집수!G6)</f>
        <v>45.5176290240164</v>
      </c>
      <c r="G7" s="15" t="n">
        <f aca="false">IF(OR(어린이집수!H6=0,'정원(명)'!G6=0),"",'정원(명)'!G6/어린이집수!H6)</f>
        <v>45.6692034500254</v>
      </c>
      <c r="H7" s="15" t="n">
        <f aca="false">IF(OR(어린이집수!I6=0,'정원(명)'!H6=0),"",'정원(명)'!H6/어린이집수!I6)</f>
        <v>46.2870418172432</v>
      </c>
      <c r="I7" s="15" t="n">
        <f aca="false">IF(OR(어린이집수!J6=0,'정원(명)'!I6=0),"",'정원(명)'!I6/어린이집수!J6)</f>
        <v>46.375</v>
      </c>
      <c r="J7" s="15" t="n">
        <f aca="false">IF(OR(어린이집수!K6=0,'정원(명)'!J6=0),"",'정원(명)'!J6/어린이집수!K6)</f>
        <v>46.6536224219989</v>
      </c>
      <c r="K7" s="15" t="n">
        <f aca="false">IF(OR(어린이집수!L6=0,'정원(명)'!K6=0),"",'정원(명)'!K6/어린이집수!L6)</f>
        <v>46.836038961039</v>
      </c>
      <c r="L7" s="15" t="n">
        <f aca="false">IF(OR(어린이집수!M6=0,'정원(명)'!L6=0),"",'정원(명)'!L6/어린이집수!M6)</f>
        <v>47.2485939257593</v>
      </c>
      <c r="M7" s="15" t="n">
        <f aca="false">IF(OR(어린이집수!N6=0,'정원(명)'!M6=0),"",'정원(명)'!M6/어린이집수!N6)</f>
        <v>48.1103117505995</v>
      </c>
      <c r="N7" s="15" t="n">
        <f aca="false">IF(OR(어린이집수!O6=0,'정원(명)'!N6=0),"",'정원(명)'!N6/어린이집수!O6)</f>
        <v>49.2217194570136</v>
      </c>
    </row>
    <row r="8" customFormat="false" ht="15" hidden="false" customHeight="false" outlineLevel="0" collapsed="false">
      <c r="A8" s="8" t="s">
        <v>5</v>
      </c>
      <c r="B8" s="15" t="n">
        <f aca="false">IF(OR(어린이집수!C7=0,'정원(명)'!B7=0),"",'정원(명)'!B7/어린이집수!C7)</f>
        <v>49.4015544041451</v>
      </c>
      <c r="C8" s="15" t="n">
        <f aca="false">IF(OR(어린이집수!D7=0,'정원(명)'!C7=0),"",'정원(명)'!C7/어린이집수!D7)</f>
        <v>49.4670083279949</v>
      </c>
      <c r="D8" s="15" t="n">
        <f aca="false">IF(OR(어린이집수!E7=0,'정원(명)'!D7=0),"",'정원(명)'!D7/어린이집수!E7)</f>
        <v>50.4867088607595</v>
      </c>
      <c r="E8" s="15" t="n">
        <f aca="false">IF(OR(어린이집수!F7=0,'정원(명)'!E7=0),"",'정원(명)'!E7/어린이집수!F7)</f>
        <v>50.0867924528302</v>
      </c>
      <c r="F8" s="15" t="n">
        <f aca="false">IF(OR(어린이집수!G7=0,'정원(명)'!F7=0),"",'정원(명)'!F7/어린이집수!G7)</f>
        <v>49.9206549118388</v>
      </c>
      <c r="G8" s="15" t="n">
        <f aca="false">IF(OR(어린이집수!H7=0,'정원(명)'!G7=0),"",'정원(명)'!G7/어린이집수!H7)</f>
        <v>50.3879142300195</v>
      </c>
      <c r="H8" s="15" t="n">
        <f aca="false">IF(OR(어린이집수!I7=0,'정원(명)'!H7=0),"",'정원(명)'!H7/어린이집수!I7)</f>
        <v>50.7451112609575</v>
      </c>
      <c r="I8" s="15" t="n">
        <f aca="false">IF(OR(어린이집수!J7=0,'정원(명)'!I7=0),"",'정원(명)'!I7/어린이집수!J7)</f>
        <v>51.0218579234973</v>
      </c>
      <c r="J8" s="15" t="n">
        <f aca="false">IF(OR(어린이집수!K7=0,'정원(명)'!J7=0),"",'정원(명)'!J7/어린이집수!K7)</f>
        <v>51.6014234875445</v>
      </c>
      <c r="K8" s="15" t="n">
        <f aca="false">IF(OR(어린이집수!L7=0,'정원(명)'!K7=0),"",'정원(명)'!K7/어린이집수!L7)</f>
        <v>52.4886535552194</v>
      </c>
      <c r="L8" s="15" t="n">
        <f aca="false">IF(OR(어린이집수!M7=0,'정원(명)'!L7=0),"",'정원(명)'!L7/어린이집수!M7)</f>
        <v>52.6238170347003</v>
      </c>
      <c r="M8" s="15" t="n">
        <f aca="false">IF(OR(어린이집수!N7=0,'정원(명)'!M7=0),"",'정원(명)'!M7/어린이집수!N7)</f>
        <v>52.3378264532435</v>
      </c>
      <c r="N8" s="15" t="n">
        <f aca="false">IF(OR(어린이집수!O7=0,'정원(명)'!N7=0),"",'정원(명)'!N7/어린이집수!O7)</f>
        <v>52.180860403863</v>
      </c>
    </row>
    <row r="9" customFormat="false" ht="15" hidden="false" customHeight="false" outlineLevel="0" collapsed="false">
      <c r="A9" s="8" t="s">
        <v>6</v>
      </c>
      <c r="B9" s="15" t="n">
        <f aca="false">IF(OR(어린이집수!C8=0,'정원(명)'!B8=0),"",'정원(명)'!B8/어린이집수!C8)</f>
        <v>40.6747442110932</v>
      </c>
      <c r="C9" s="15" t="n">
        <f aca="false">IF(OR(어린이집수!D8=0,'정원(명)'!C8=0),"",'정원(명)'!C8/어린이집수!D8)</f>
        <v>41.1636636636637</v>
      </c>
      <c r="D9" s="15" t="n">
        <f aca="false">IF(OR(어린이집수!E8=0,'정원(명)'!D8=0),"",'정원(명)'!D8/어린이집수!E8)</f>
        <v>40.3768913342503</v>
      </c>
      <c r="E9" s="15" t="n">
        <f aca="false">IF(OR(어린이집수!F8=0,'정원(명)'!E8=0),"",'정원(명)'!E8/어린이집수!F8)</f>
        <v>40.7821475916924</v>
      </c>
      <c r="F9" s="15" t="n">
        <f aca="false">IF(OR(어린이집수!G8=0,'정원(명)'!F8=0),"",'정원(명)'!F8/어린이집수!G8)</f>
        <v>41.0797227036395</v>
      </c>
      <c r="G9" s="15" t="n">
        <f aca="false">IF(OR(어린이집수!H8=0,'정원(명)'!G8=0),"",'정원(명)'!G8/어린이집수!H8)</f>
        <v>41.5869183494293</v>
      </c>
      <c r="H9" s="15" t="n">
        <f aca="false">IF(OR(어린이집수!I8=0,'정원(명)'!H8=0),"",'정원(명)'!H8/어린이집수!I8)</f>
        <v>42.2743164500224</v>
      </c>
      <c r="I9" s="15" t="n">
        <f aca="false">IF(OR(어린이집수!J8=0,'정원(명)'!I8=0),"",'정원(명)'!I8/어린이집수!J8)</f>
        <v>42.9725526075023</v>
      </c>
      <c r="J9" s="15" t="n">
        <f aca="false">IF(OR(어린이집수!K8=0,'정원(명)'!J8=0),"",'정원(명)'!J8/어린이집수!K8)</f>
        <v>43.852405418029</v>
      </c>
      <c r="K9" s="15" t="n">
        <f aca="false">IF(OR(어린이집수!L8=0,'정원(명)'!K8=0),"",'정원(명)'!K8/어린이집수!L8)</f>
        <v>44.7120546608102</v>
      </c>
      <c r="L9" s="15" t="n">
        <f aca="false">IF(OR(어린이집수!M8=0,'정원(명)'!L8=0),"",'정원(명)'!L8/어린이집수!M8)</f>
        <v>45.2918167781781</v>
      </c>
      <c r="M9" s="15" t="n">
        <f aca="false">IF(OR(어린이집수!N8=0,'정원(명)'!M8=0),"",'정원(명)'!M8/어린이집수!N8)</f>
        <v>47.075429839157</v>
      </c>
      <c r="N9" s="15" t="n">
        <f aca="false">IF(OR(어린이집수!O8=0,'정원(명)'!N8=0),"",'정원(명)'!N8/어린이집수!O8)</f>
        <v>47.6700058927519</v>
      </c>
    </row>
    <row r="10" customFormat="false" ht="15" hidden="false" customHeight="false" outlineLevel="0" collapsed="false">
      <c r="A10" s="8" t="s">
        <v>7</v>
      </c>
      <c r="B10" s="15" t="n">
        <f aca="false">IF(OR(어린이집수!C9=0,'정원(명)'!B9=0),"",'정원(명)'!B9/어린이집수!C9)</f>
        <v>33.0416938110749</v>
      </c>
      <c r="C10" s="15" t="n">
        <f aca="false">IF(OR(어린이집수!D9=0,'정원(명)'!C9=0),"",'정원(명)'!C9/어린이집수!D9)</f>
        <v>33.0281425891182</v>
      </c>
      <c r="D10" s="15" t="n">
        <f aca="false">IF(OR(어린이집수!E9=0,'정원(명)'!D9=0),"",'정원(명)'!D9/어린이집수!E9)</f>
        <v>32.7564798071127</v>
      </c>
      <c r="E10" s="15" t="n">
        <f aca="false">IF(OR(어린이집수!F9=0,'정원(명)'!E9=0),"",'정원(명)'!E9/어린이집수!F9)</f>
        <v>32.8011904761905</v>
      </c>
      <c r="F10" s="15" t="n">
        <f aca="false">IF(OR(어린이집수!G9=0,'정원(명)'!F9=0),"",'정원(명)'!F9/어린이집수!G9)</f>
        <v>32.7167255594817</v>
      </c>
      <c r="G10" s="15" t="n">
        <f aca="false">IF(OR(어린이집수!H9=0,'정원(명)'!G9=0),"",'정원(명)'!G9/어린이집수!H9)</f>
        <v>33.3343319352906</v>
      </c>
      <c r="H10" s="15" t="n">
        <f aca="false">IF(OR(어린이집수!I9=0,'정원(명)'!H9=0),"",'정원(명)'!H9/어린이집수!I9)</f>
        <v>34.415404040404</v>
      </c>
      <c r="I10" s="15" t="n">
        <f aca="false">IF(OR(어린이집수!J9=0,'정원(명)'!I9=0),"",'정원(명)'!I9/어린이집수!J9)</f>
        <v>35.6730897009967</v>
      </c>
      <c r="J10" s="15" t="n">
        <f aca="false">IF(OR(어린이집수!K9=0,'정원(명)'!J9=0),"",'정원(명)'!J9/어린이집수!K9)</f>
        <v>36.2908961593172</v>
      </c>
      <c r="K10" s="15" t="n">
        <f aca="false">IF(OR(어린이집수!L9=0,'정원(명)'!K9=0),"",'정원(명)'!K9/어린이집수!L9)</f>
        <v>37.207298136646</v>
      </c>
      <c r="L10" s="15" t="n">
        <f aca="false">IF(OR(어린이집수!M9=0,'정원(명)'!L9=0),"",'정원(명)'!L9/어린이집수!M9)</f>
        <v>38.1097046413502</v>
      </c>
      <c r="M10" s="15" t="n">
        <f aca="false">IF(OR(어린이집수!N9=0,'정원(명)'!M9=0),"",'정원(명)'!M9/어린이집수!N9)</f>
        <v>38.3024523160763</v>
      </c>
      <c r="N10" s="15" t="n">
        <f aca="false">IF(OR(어린이집수!O9=0,'정원(명)'!N9=0),"",'정원(명)'!N9/어린이집수!O9)</f>
        <v>38.6426456071076</v>
      </c>
    </row>
    <row r="11" customFormat="false" ht="15" hidden="false" customHeight="false" outlineLevel="0" collapsed="false">
      <c r="A11" s="8" t="s">
        <v>8</v>
      </c>
      <c r="B11" s="15" t="n">
        <f aca="false">IF(OR(어린이집수!C10=0,'정원(명)'!B10=0),"",'정원(명)'!B10/어린이집수!C10)</f>
        <v>43.8872679045093</v>
      </c>
      <c r="C11" s="15" t="n">
        <f aca="false">IF(OR(어린이집수!D10=0,'정원(명)'!C10=0),"",'정원(명)'!C10/어린이집수!D10)</f>
        <v>43.5464547677262</v>
      </c>
      <c r="D11" s="15" t="n">
        <f aca="false">IF(OR(어린이집수!E10=0,'정원(명)'!D10=0),"",'정원(명)'!D10/어린이집수!E10)</f>
        <v>42.7883538633819</v>
      </c>
      <c r="E11" s="15" t="n">
        <f aca="false">IF(OR(어린이집수!F10=0,'정원(명)'!E10=0),"",'정원(명)'!E10/어린이집수!F10)</f>
        <v>42.4748124330118</v>
      </c>
      <c r="F11" s="15" t="n">
        <f aca="false">IF(OR(어린이집수!G10=0,'정원(명)'!F10=0),"",'정원(명)'!F10/어린이집수!G10)</f>
        <v>43.0803382663848</v>
      </c>
      <c r="G11" s="15" t="n">
        <f aca="false">IF(OR(어린이집수!H10=0,'정원(명)'!G10=0),"",'정원(명)'!G10/어린이집수!H10)</f>
        <v>43.7890792291221</v>
      </c>
      <c r="H11" s="15" t="n">
        <f aca="false">IF(OR(어린이집수!I10=0,'정원(명)'!H10=0),"",'정원(명)'!H10/어린이집수!I10)</f>
        <v>44.9798882681564</v>
      </c>
      <c r="I11" s="15" t="n">
        <f aca="false">IF(OR(어린이집수!J10=0,'정원(명)'!I10=0),"",'정원(명)'!I10/어린이집수!J10)</f>
        <v>45.7491486946652</v>
      </c>
      <c r="J11" s="15" t="n">
        <f aca="false">IF(OR(어린이집수!K10=0,'정원(명)'!J10=0),"",'정원(명)'!J10/어린이집수!K10)</f>
        <v>45.9608294930876</v>
      </c>
      <c r="K11" s="15" t="n">
        <f aca="false">IF(OR(어린이집수!L10=0,'정원(명)'!K10=0),"",'정원(명)'!K10/어린이집수!L10)</f>
        <v>47.0902612826603</v>
      </c>
      <c r="L11" s="15" t="n">
        <f aca="false">IF(OR(어린이집수!M10=0,'정원(명)'!L10=0),"",'정원(명)'!L10/어린이집수!M10)</f>
        <v>47.4569620253165</v>
      </c>
      <c r="M11" s="15" t="n">
        <f aca="false">IF(OR(어린이집수!N10=0,'정원(명)'!M10=0),"",'정원(명)'!M10/어린이집수!N10)</f>
        <v>48.0319444444444</v>
      </c>
      <c r="N11" s="15" t="n">
        <f aca="false">IF(OR(어린이집수!O10=0,'정원(명)'!N10=0),"",'정원(명)'!N10/어린이집수!O10)</f>
        <v>48.3932926829268</v>
      </c>
    </row>
    <row r="12" customFormat="false" ht="15" hidden="false" customHeight="false" outlineLevel="0" collapsed="false">
      <c r="A12" s="8" t="s">
        <v>9</v>
      </c>
      <c r="B12" s="15" t="str">
        <f aca="false">IF(OR(어린이집수!C11=0,'정원(명)'!B11=0),"",'정원(명)'!B11/어린이집수!C11)</f>
        <v/>
      </c>
      <c r="C12" s="15" t="str">
        <f aca="false">IF(OR(어린이집수!D11=0,'정원(명)'!C11=0),"",'정원(명)'!C11/어린이집수!D11)</f>
        <v/>
      </c>
      <c r="D12" s="15" t="n">
        <f aca="false">IF(OR(어린이집수!E11=0,'정원(명)'!D11=0),"",'정원(명)'!D11/어린이집수!E11)</f>
        <v>52.4339622641509</v>
      </c>
      <c r="E12" s="15" t="n">
        <f aca="false">IF(OR(어린이집수!F11=0,'정원(명)'!E11=0),"",'정원(명)'!E11/어린이집수!F11)</f>
        <v>53.5677966101695</v>
      </c>
      <c r="F12" s="15" t="n">
        <f aca="false">IF(OR(어린이집수!G11=0,'정원(명)'!F11=0),"",'정원(명)'!F11/어린이집수!G11)</f>
        <v>52.54375</v>
      </c>
      <c r="G12" s="15" t="n">
        <f aca="false">IF(OR(어린이집수!H11=0,'정원(명)'!G11=0),"",'정원(명)'!G11/어린이집수!H11)</f>
        <v>50.5231481481481</v>
      </c>
      <c r="H12" s="15" t="n">
        <f aca="false">IF(OR(어린이집수!I11=0,'정원(명)'!H11=0),"",'정원(명)'!H11/어린이집수!I11)</f>
        <v>50.348</v>
      </c>
      <c r="I12" s="15" t="n">
        <f aca="false">IF(OR(어린이집수!J11=0,'정원(명)'!I11=0),"",'정원(명)'!I11/어린이집수!J11)</f>
        <v>50.719723183391</v>
      </c>
      <c r="J12" s="15" t="n">
        <f aca="false">IF(OR(어린이집수!K11=0,'정원(명)'!J11=0),"",'정원(명)'!J11/어린이집수!K11)</f>
        <v>51.5655976676385</v>
      </c>
      <c r="K12" s="15" t="n">
        <f aca="false">IF(OR(어린이집수!L11=0,'정원(명)'!K11=0),"",'정원(명)'!K11/어린이집수!L11)</f>
        <v>53.7604456824513</v>
      </c>
      <c r="L12" s="15" t="n">
        <f aca="false">IF(OR(어린이집수!M11=0,'정원(명)'!L11=0),"",'정원(명)'!L11/어린이집수!M11)</f>
        <v>55.8057142857143</v>
      </c>
      <c r="M12" s="15" t="n">
        <f aca="false">IF(OR(어린이집수!N11=0,'정원(명)'!M11=0),"",'정원(명)'!M11/어린이집수!N11)</f>
        <v>56.8425655976676</v>
      </c>
      <c r="N12" s="15" t="n">
        <f aca="false">IF(OR(어린이집수!O11=0,'정원(명)'!N11=0),"",'정원(명)'!N11/어린이집수!O11)</f>
        <v>57.4587155963303</v>
      </c>
    </row>
    <row r="13" customFormat="false" ht="15" hidden="false" customHeight="false" outlineLevel="0" collapsed="false">
      <c r="A13" s="8" t="s">
        <v>10</v>
      </c>
      <c r="B13" s="15" t="n">
        <f aca="false">IF(OR(어린이집수!C12=0,'정원(명)'!B12=0),"",'정원(명)'!B12/어린이집수!C12)</f>
        <v>34.3517253614832</v>
      </c>
      <c r="C13" s="15" t="n">
        <f aca="false">IF(OR(어린이집수!D12=0,'정원(명)'!C12=0),"",'정원(명)'!C12/어린이집수!D12)</f>
        <v>34.6685835095137</v>
      </c>
      <c r="D13" s="15" t="n">
        <f aca="false">IF(OR(어린이집수!E12=0,'정원(명)'!D12=0),"",'정원(명)'!D12/어린이집수!E12)</f>
        <v>34.7633848783899</v>
      </c>
      <c r="E13" s="15" t="n">
        <f aca="false">IF(OR(어린이집수!F12=0,'정원(명)'!E12=0),"",'정원(명)'!E12/어린이집수!F12)</f>
        <v>35.3559563005088</v>
      </c>
      <c r="F13" s="15" t="n">
        <f aca="false">IF(OR(어린이집수!G12=0,'정원(명)'!F12=0),"",'정원(명)'!F12/어린이집수!G12)</f>
        <v>36.133418809865</v>
      </c>
      <c r="G13" s="15" t="n">
        <f aca="false">IF(OR(어린이집수!H12=0,'정원(명)'!G12=0),"",'정원(명)'!G12/어린이집수!H12)</f>
        <v>37.4039719442036</v>
      </c>
      <c r="H13" s="15" t="n">
        <f aca="false">IF(OR(어린이집수!I12=0,'정원(명)'!H12=0),"",'정원(명)'!H12/어린이집수!I12)</f>
        <v>38.5700495049505</v>
      </c>
      <c r="I13" s="15" t="n">
        <f aca="false">IF(OR(어린이집수!J12=0,'정원(명)'!I12=0),"",'정원(명)'!I12/어린이집수!J12)</f>
        <v>39.4097251585624</v>
      </c>
      <c r="J13" s="15" t="n">
        <f aca="false">IF(OR(어린이집수!K12=0,'정원(명)'!J12=0),"",'정원(명)'!J12/어린이집수!K12)</f>
        <v>40.0013696284883</v>
      </c>
      <c r="K13" s="15" t="n">
        <f aca="false">IF(OR(어린이집수!L12=0,'정원(명)'!K12=0),"",'정원(명)'!K12/어린이집수!L12)</f>
        <v>41.0799646174259</v>
      </c>
      <c r="L13" s="15" t="n">
        <f aca="false">IF(OR(어린이집수!M12=0,'정원(명)'!L12=0),"",'정원(명)'!L12/어린이집수!M12)</f>
        <v>42.333983830499</v>
      </c>
      <c r="M13" s="15" t="n">
        <f aca="false">IF(OR(어린이집수!N12=0,'정원(명)'!M12=0),"",'정원(명)'!M12/어린이집수!N12)</f>
        <v>43.5997434885556</v>
      </c>
      <c r="N13" s="15" t="n">
        <f aca="false">IF(OR(어린이집수!O12=0,'정원(명)'!N12=0),"",'정원(명)'!N12/어린이집수!O12)</f>
        <v>44.9587836406018</v>
      </c>
    </row>
    <row r="14" customFormat="false" ht="15" hidden="false" customHeight="false" outlineLevel="0" collapsed="false">
      <c r="A14" s="8" t="s">
        <v>11</v>
      </c>
      <c r="B14" s="15" t="n">
        <f aca="false">IF(OR(어린이집수!C13=0,'정원(명)'!B13=0),"",'정원(명)'!B13/어린이집수!C13)</f>
        <v>47.8589861751152</v>
      </c>
      <c r="C14" s="15" t="n">
        <f aca="false">IF(OR(어린이집수!D13=0,'정원(명)'!C13=0),"",'정원(명)'!C13/어린이집수!D13)</f>
        <v>46.6416739319965</v>
      </c>
      <c r="D14" s="15" t="n">
        <f aca="false">IF(OR(어린이집수!E13=0,'정원(명)'!D13=0),"",'정원(명)'!D13/어린이집수!E13)</f>
        <v>45.2242765273312</v>
      </c>
      <c r="E14" s="15" t="n">
        <f aca="false">IF(OR(어린이집수!F13=0,'정원(명)'!E13=0),"",'정원(명)'!E13/어린이집수!F13)</f>
        <v>44.9375494071146</v>
      </c>
      <c r="F14" s="15" t="n">
        <f aca="false">IF(OR(어린이집수!G13=0,'정원(명)'!F13=0),"",'정원(명)'!F13/어린이집수!G13)</f>
        <v>44.9053301511535</v>
      </c>
      <c r="G14" s="15" t="n">
        <f aca="false">IF(OR(어린이집수!H13=0,'정원(명)'!G13=0),"",'정원(명)'!G13/어린이집수!H13)</f>
        <v>45.4099429502853</v>
      </c>
      <c r="H14" s="15" t="n">
        <f aca="false">IF(OR(어린이집수!I13=0,'정원(명)'!H13=0),"",'정원(명)'!H13/어린이집수!I13)</f>
        <v>46.1084745762712</v>
      </c>
      <c r="I14" s="15" t="n">
        <f aca="false">IF(OR(어린이집수!J13=0,'정원(명)'!I13=0),"",'정원(명)'!I13/어린이집수!J13)</f>
        <v>46.5343777197563</v>
      </c>
      <c r="J14" s="15" t="n">
        <f aca="false">IF(OR(어린이집수!K13=0,'정원(명)'!J13=0),"",'정원(명)'!J13/어린이집수!K13)</f>
        <v>47.2237569060774</v>
      </c>
      <c r="K14" s="15" t="n">
        <f aca="false">IF(OR(어린이집수!L13=0,'정원(명)'!K13=0),"",'정원(명)'!K13/어린이집수!L13)</f>
        <v>48.1776061776062</v>
      </c>
      <c r="L14" s="15" t="n">
        <f aca="false">IF(OR(어린이집수!M13=0,'정원(명)'!L13=0),"",'정원(명)'!L13/어린이집수!M13)</f>
        <v>48.6396396396396</v>
      </c>
      <c r="M14" s="15" t="n">
        <f aca="false">IF(OR(어린이집수!N13=0,'정원(명)'!M13=0),"",'정원(명)'!M13/어린이집수!N13)</f>
        <v>49.2882599580713</v>
      </c>
      <c r="N14" s="15" t="n">
        <f aca="false">IF(OR(어린이집수!O13=0,'정원(명)'!N13=0),"",'정원(명)'!N13/어린이집수!O13)</f>
        <v>50.1931567328918</v>
      </c>
    </row>
    <row r="15" customFormat="false" ht="15" hidden="false" customHeight="false" outlineLevel="0" collapsed="false">
      <c r="A15" s="8" t="s">
        <v>12</v>
      </c>
      <c r="B15" s="15" t="n">
        <f aca="false">IF(OR(어린이집수!C14=0,'정원(명)'!B14=0),"",'정원(명)'!B14/어린이집수!C14)</f>
        <v>52.4055755395683</v>
      </c>
      <c r="C15" s="15" t="n">
        <f aca="false">IF(OR(어린이집수!D14=0,'정원(명)'!C14=0),"",'정원(명)'!C14/어린이집수!D14)</f>
        <v>52.2285966460724</v>
      </c>
      <c r="D15" s="15" t="n">
        <f aca="false">IF(OR(어린이집수!E14=0,'정원(명)'!D14=0),"",'정원(명)'!D14/어린이집수!E14)</f>
        <v>52.2391857506361</v>
      </c>
      <c r="E15" s="15" t="n">
        <f aca="false">IF(OR(어린이집수!F14=0,'정원(명)'!E14=0),"",'정원(명)'!E14/어린이집수!F14)</f>
        <v>51.7648514851485</v>
      </c>
      <c r="F15" s="15" t="n">
        <f aca="false">IF(OR(어린이집수!G14=0,'정원(명)'!F14=0),"",'정원(명)'!F14/어린이집수!G14)</f>
        <v>51.4353132628153</v>
      </c>
      <c r="G15" s="15" t="n">
        <f aca="false">IF(OR(어린이집수!H14=0,'정원(명)'!G14=0),"",'정원(명)'!G14/어린이집수!H14)</f>
        <v>51.7081300813008</v>
      </c>
      <c r="H15" s="15" t="n">
        <f aca="false">IF(OR(어린이집수!I14=0,'정원(명)'!H14=0),"",'정원(명)'!H14/어린이집수!I14)</f>
        <v>52.2417218543046</v>
      </c>
      <c r="I15" s="15" t="n">
        <f aca="false">IF(OR(어린이집수!J14=0,'정원(명)'!I14=0),"",'정원(명)'!I14/어린이집수!J14)</f>
        <v>52.7672849915683</v>
      </c>
      <c r="J15" s="15" t="n">
        <f aca="false">IF(OR(어린이집수!K14=0,'정원(명)'!J14=0),"",'정원(명)'!J14/어린이집수!K14)</f>
        <v>52.90492653414</v>
      </c>
      <c r="K15" s="15" t="n">
        <f aca="false">IF(OR(어린이집수!L14=0,'정원(명)'!K14=0),"",'정원(명)'!K14/어린이집수!L14)</f>
        <v>53.1973451327434</v>
      </c>
      <c r="L15" s="15" t="n">
        <f aca="false">IF(OR(어린이집수!M14=0,'정원(명)'!L14=0),"",'정원(명)'!L14/어린이집수!M14)</f>
        <v>54.1044362292052</v>
      </c>
      <c r="M15" s="15" t="n">
        <f aca="false">IF(OR(어린이집수!N14=0,'정원(명)'!M14=0),"",'정원(명)'!M14/어린이집수!N14)</f>
        <v>54.7907869481766</v>
      </c>
      <c r="N15" s="15" t="n">
        <f aca="false">IF(OR(어린이집수!O14=0,'정원(명)'!N14=0),"",'정원(명)'!N14/어린이집수!O14)</f>
        <v>55.90329218107</v>
      </c>
    </row>
    <row r="16" customFormat="false" ht="15" hidden="false" customHeight="false" outlineLevel="0" collapsed="false">
      <c r="A16" s="8" t="s">
        <v>13</v>
      </c>
      <c r="B16" s="15" t="n">
        <f aca="false">IF(OR(어린이집수!C15=0,'정원(명)'!B15=0),"",'정원(명)'!B15/어린이집수!C15)</f>
        <v>42.5909899229401</v>
      </c>
      <c r="C16" s="15" t="n">
        <f aca="false">IF(OR(어린이집수!D15=0,'정원(명)'!C15=0),"",'정원(명)'!C15/어린이집수!D15)</f>
        <v>42.1351642434033</v>
      </c>
      <c r="D16" s="15" t="n">
        <f aca="false">IF(OR(어린이집수!E15=0,'정원(명)'!D15=0),"",'정원(명)'!D15/어린이집수!E15)</f>
        <v>40.767955801105</v>
      </c>
      <c r="E16" s="15" t="n">
        <f aca="false">IF(OR(어린이집수!F15=0,'정원(명)'!E15=0),"",'정원(명)'!E15/어린이집수!F15)</f>
        <v>42.3072491598656</v>
      </c>
      <c r="F16" s="15" t="n">
        <f aca="false">IF(OR(어린이집수!G15=0,'정원(명)'!F15=0),"",'정원(명)'!F15/어린이집수!G15)</f>
        <v>42.8226984900146</v>
      </c>
      <c r="G16" s="15" t="n">
        <f aca="false">IF(OR(어린이집수!H15=0,'정원(명)'!G15=0),"",'정원(명)'!G15/어린이집수!H15)</f>
        <v>44.0261569416499</v>
      </c>
      <c r="H16" s="15" t="n">
        <f aca="false">IF(OR(어린이집수!I15=0,'정원(명)'!H15=0),"",'정원(명)'!H15/어린이집수!I15)</f>
        <v>44.3946301925025</v>
      </c>
      <c r="I16" s="15" t="n">
        <f aca="false">IF(OR(어린이집수!J15=0,'정원(명)'!I15=0),"",'정원(명)'!I15/어린이집수!J15)</f>
        <v>44.750895140665</v>
      </c>
      <c r="J16" s="15" t="n">
        <f aca="false">IF(OR(어린이집수!K15=0,'정원(명)'!J15=0),"",'정원(명)'!J15/어린이집수!K15)</f>
        <v>44.9629436325679</v>
      </c>
      <c r="K16" s="15" t="n">
        <f aca="false">IF(OR(어린이집수!L15=0,'정원(명)'!K15=0),"",'정원(명)'!K15/어린이집수!L15)</f>
        <v>45.6385209713024</v>
      </c>
      <c r="L16" s="15" t="n">
        <f aca="false">IF(OR(어린이집수!M15=0,'정원(명)'!L15=0),"",'정원(명)'!L15/어린이집수!M15)</f>
        <v>46.5806639487478</v>
      </c>
      <c r="M16" s="15" t="n">
        <f aca="false">IF(OR(어린이집수!N15=0,'정원(명)'!M15=0),"",'정원(명)'!M15/어린이집수!N15)</f>
        <v>47.1107692307692</v>
      </c>
      <c r="N16" s="15" t="n">
        <f aca="false">IF(OR(어린이집수!O15=0,'정원(명)'!N15=0),"",'정원(명)'!N15/어린이집수!O15)</f>
        <v>48.0672823218997</v>
      </c>
    </row>
    <row r="17" customFormat="false" ht="15" hidden="false" customHeight="false" outlineLevel="0" collapsed="false">
      <c r="A17" s="8" t="s">
        <v>14</v>
      </c>
      <c r="B17" s="15" t="n">
        <f aca="false">IF(OR(어린이집수!C16=0,'정원(명)'!B16=0),"",'정원(명)'!B16/어린이집수!C16)</f>
        <v>47.5179621162639</v>
      </c>
      <c r="C17" s="15" t="n">
        <f aca="false">IF(OR(어린이집수!D16=0,'정원(명)'!C16=0),"",'정원(명)'!C16/어린이집수!D16)</f>
        <v>46.0126582278481</v>
      </c>
      <c r="D17" s="15" t="n">
        <f aca="false">IF(OR(어린이집수!E16=0,'정원(명)'!D16=0),"",'정원(명)'!D16/어린이집수!E16)</f>
        <v>45.8185185185185</v>
      </c>
      <c r="E17" s="15" t="n">
        <f aca="false">IF(OR(어린이집수!F16=0,'정원(명)'!E16=0),"",'정원(명)'!E16/어린이집수!F16)</f>
        <v>45.6472374013358</v>
      </c>
      <c r="F17" s="15" t="n">
        <f aca="false">IF(OR(어린이집수!G16=0,'정원(명)'!F16=0),"",'정원(명)'!F16/어린이집수!G16)</f>
        <v>45.5108827085853</v>
      </c>
      <c r="G17" s="15" t="n">
        <f aca="false">IF(OR(어린이집수!H16=0,'정원(명)'!G16=0),"",'정원(명)'!G16/어린이집수!H16)</f>
        <v>45.4331484904498</v>
      </c>
      <c r="H17" s="15" t="n">
        <f aca="false">IF(OR(어린이집수!I16=0,'정원(명)'!H16=0),"",'정원(명)'!H16/어린이집수!I16)</f>
        <v>46.0601792573624</v>
      </c>
      <c r="I17" s="15" t="n">
        <f aca="false">IF(OR(어린이집수!J16=0,'정원(명)'!I16=0),"",'정원(명)'!I16/어린이집수!J16)</f>
        <v>46.5263861055444</v>
      </c>
      <c r="J17" s="15" t="n">
        <f aca="false">IF(OR(어린이집수!K16=0,'정원(명)'!J16=0),"",'정원(명)'!J16/어린이집수!K16)</f>
        <v>47.2555476020043</v>
      </c>
      <c r="K17" s="15" t="n">
        <f aca="false">IF(OR(어린이집수!L16=0,'정원(명)'!K16=0),"",'정원(명)'!K16/어린이집수!L16)</f>
        <v>48.3905279503106</v>
      </c>
      <c r="L17" s="15" t="n">
        <f aca="false">IF(OR(어린이집수!M16=0,'정원(명)'!L16=0),"",'정원(명)'!L16/어린이집수!M16)</f>
        <v>49.6351464435146</v>
      </c>
      <c r="M17" s="15" t="n">
        <f aca="false">IF(OR(어린이집수!N16=0,'정원(명)'!M16=0),"",'정원(명)'!M16/어린이집수!N16)</f>
        <v>49.6511210762332</v>
      </c>
      <c r="N17" s="15" t="n">
        <f aca="false">IF(OR(어린이집수!O16=0,'정원(명)'!N16=0),"",'정원(명)'!N16/어린이집수!O16)</f>
        <v>50.53515625</v>
      </c>
    </row>
    <row r="18" customFormat="false" ht="15" hidden="false" customHeight="false" outlineLevel="0" collapsed="false">
      <c r="A18" s="8" t="s">
        <v>15</v>
      </c>
      <c r="B18" s="15" t="n">
        <f aca="false">IF(OR(어린이집수!C17=0,'정원(명)'!B17=0),"",'정원(명)'!B17/어린이집수!C17)</f>
        <v>44.5245245245245</v>
      </c>
      <c r="C18" s="15" t="n">
        <f aca="false">IF(OR(어린이집수!D17=0,'정원(명)'!C17=0),"",'정원(명)'!C17/어린이집수!D17)</f>
        <v>43.4037927844588</v>
      </c>
      <c r="D18" s="15" t="n">
        <f aca="false">IF(OR(어린이집수!E17=0,'정원(명)'!D17=0),"",'정원(명)'!D17/어린이집수!E17)</f>
        <v>42.565371024735</v>
      </c>
      <c r="E18" s="15" t="n">
        <f aca="false">IF(OR(어린이집수!F17=0,'정원(명)'!E17=0),"",'정원(명)'!E17/어린이집수!F17)</f>
        <v>43.0659920809503</v>
      </c>
      <c r="F18" s="15" t="n">
        <f aca="false">IF(OR(어린이집수!G17=0,'정원(명)'!F17=0),"",'정원(명)'!F17/어린이집수!G17)</f>
        <v>43.2242314647378</v>
      </c>
      <c r="G18" s="15" t="n">
        <f aca="false">IF(OR(어린이집수!H17=0,'정원(명)'!G17=0),"",'정원(명)'!G17/어린이집수!H17)</f>
        <v>44.1211267605634</v>
      </c>
      <c r="H18" s="15" t="n">
        <f aca="false">IF(OR(어린이집수!I17=0,'정원(명)'!H17=0),"",'정원(명)'!H17/어린이집수!I17)</f>
        <v>44.6955280685062</v>
      </c>
      <c r="I18" s="15" t="n">
        <f aca="false">IF(OR(어린이집수!J17=0,'정원(명)'!I17=0),"",'정원(명)'!I17/어린이집수!J17)</f>
        <v>44.9195346582647</v>
      </c>
      <c r="J18" s="15" t="n">
        <f aca="false">IF(OR(어린이집수!K17=0,'정원(명)'!J17=0),"",'정원(명)'!J17/어린이집수!K17)</f>
        <v>45.2849190283401</v>
      </c>
      <c r="K18" s="15" t="n">
        <f aca="false">IF(OR(어린이집수!L17=0,'정원(명)'!K17=0),"",'정원(명)'!K17/어린이집수!L17)</f>
        <v>46.4029284164859</v>
      </c>
      <c r="L18" s="15" t="n">
        <f aca="false">IF(OR(어린이집수!M17=0,'정원(명)'!L17=0),"",'정원(명)'!L17/어린이집수!M17)</f>
        <v>47.2701449275362</v>
      </c>
      <c r="M18" s="15" t="n">
        <f aca="false">IF(OR(어린이집수!N17=0,'정원(명)'!M17=0),"",'정원(명)'!M17/어린이집수!N17)</f>
        <v>48.0037105751391</v>
      </c>
      <c r="N18" s="15" t="n">
        <f aca="false">IF(OR(어린이집수!O17=0,'정원(명)'!N17=0),"",'정원(명)'!N17/어린이집수!O17)</f>
        <v>49.3718386876282</v>
      </c>
    </row>
    <row r="19" customFormat="false" ht="15" hidden="false" customHeight="false" outlineLevel="0" collapsed="false">
      <c r="A19" s="8" t="s">
        <v>16</v>
      </c>
      <c r="B19" s="15" t="n">
        <f aca="false">IF(OR(어린이집수!C18=0,'정원(명)'!B18=0),"",'정원(명)'!B18/어린이집수!C18)</f>
        <v>36.5504019789734</v>
      </c>
      <c r="C19" s="15" t="n">
        <f aca="false">IF(OR(어린이집수!D18=0,'정원(명)'!C18=0),"",'정원(명)'!C18/어린이집수!D18)</f>
        <v>36.6219476316564</v>
      </c>
      <c r="D19" s="15" t="n">
        <f aca="false">IF(OR(어린이집수!E18=0,'정원(명)'!D18=0),"",'정원(명)'!D18/어린이집수!E18)</f>
        <v>36.3020774845592</v>
      </c>
      <c r="E19" s="15" t="n">
        <f aca="false">IF(OR(어린이집수!F18=0,'정원(명)'!E18=0),"",'정원(명)'!E18/어린이집수!F18)</f>
        <v>36.669332597904</v>
      </c>
      <c r="F19" s="15" t="n">
        <f aca="false">IF(OR(어린이집수!G18=0,'정원(명)'!F18=0),"",'정원(명)'!F18/어린이집수!G18)</f>
        <v>37.7028021511463</v>
      </c>
      <c r="G19" s="15" t="n">
        <f aca="false">IF(OR(어린이집수!H18=0,'정원(명)'!G18=0),"",'정원(명)'!G18/어린이집수!H18)</f>
        <v>39.0161242161839</v>
      </c>
      <c r="H19" s="15" t="n">
        <f aca="false">IF(OR(어린이집수!I18=0,'정원(명)'!H18=0),"",'정원(명)'!H18/어린이집수!I18)</f>
        <v>40.3182393920203</v>
      </c>
      <c r="I19" s="15" t="n">
        <f aca="false">IF(OR(어린이집수!J18=0,'정원(명)'!I18=0),"",'정원(명)'!I18/어린이집수!J18)</f>
        <v>40.9730869001297</v>
      </c>
      <c r="J19" s="15" t="n">
        <f aca="false">IF(OR(어린이집수!K18=0,'정원(명)'!J18=0),"",'정원(명)'!J18/어린이집수!K18)</f>
        <v>41.9232059020791</v>
      </c>
      <c r="K19" s="15" t="n">
        <f aca="false">IF(OR(어린이집수!L18=0,'정원(명)'!K18=0),"",'정원(명)'!K18/어린이집수!L18)</f>
        <v>43.0442924018725</v>
      </c>
      <c r="L19" s="15" t="n">
        <f aca="false">IF(OR(어린이집수!M18=0,'정원(명)'!L18=0),"",'정원(명)'!L18/어린이집수!M18)</f>
        <v>44.0444182389937</v>
      </c>
      <c r="M19" s="15" t="n">
        <f aca="false">IF(OR(어린이집수!N18=0,'정원(명)'!M18=0),"",'정원(명)'!M18/어린이집수!N18)</f>
        <v>44.8816291896479</v>
      </c>
      <c r="N19" s="15" t="n">
        <f aca="false">IF(OR(어린이집수!O18=0,'정원(명)'!N18=0),"",'정원(명)'!N18/어린이집수!O18)</f>
        <v>45.5831370701837</v>
      </c>
    </row>
    <row r="20" customFormat="false" ht="15" hidden="false" customHeight="false" outlineLevel="0" collapsed="false">
      <c r="A20" s="8" t="s">
        <v>17</v>
      </c>
      <c r="B20" s="15" t="n">
        <f aca="false">IF(OR(어린이집수!C19=0,'정원(명)'!B19=0),"",'정원(명)'!B19/어린이집수!C19)</f>
        <v>55.6380952380952</v>
      </c>
      <c r="C20" s="15" t="n">
        <f aca="false">IF(OR(어린이집수!D19=0,'정원(명)'!C19=0),"",'정원(명)'!C19/어린이집수!D19)</f>
        <v>55.3260869565217</v>
      </c>
      <c r="D20" s="15" t="n">
        <f aca="false">IF(OR(어린이집수!E19=0,'정원(명)'!D19=0),"",'정원(명)'!D19/어린이집수!E19)</f>
        <v>55.3527397260274</v>
      </c>
      <c r="E20" s="15" t="n">
        <f aca="false">IF(OR(어린이집수!F19=0,'정원(명)'!E19=0),"",'정원(명)'!E19/어린이집수!F19)</f>
        <v>54.9420529801325</v>
      </c>
      <c r="F20" s="15" t="n">
        <f aca="false">IF(OR(어린이집수!G19=0,'정원(명)'!F19=0),"",'정원(명)'!F19/어린이집수!G19)</f>
        <v>55.1068447412354</v>
      </c>
      <c r="G20" s="15" t="n">
        <f aca="false">IF(OR(어린이집수!H19=0,'정원(명)'!G19=0),"",'정원(명)'!G19/어린이집수!H19)</f>
        <v>57.1951219512195</v>
      </c>
      <c r="H20" s="15" t="n">
        <f aca="false">IF(OR(어린이집수!I19=0,'정원(명)'!H19=0),"",'정원(명)'!H19/어린이집수!I19)</f>
        <v>57.414364640884</v>
      </c>
      <c r="I20" s="15" t="n">
        <f aca="false">IF(OR(어린이집수!J19=0,'정원(명)'!I19=0),"",'정원(명)'!I19/어린이집수!J19)</f>
        <v>57.9335863377609</v>
      </c>
      <c r="J20" s="15" t="n">
        <f aca="false">IF(OR(어린이집수!K19=0,'정원(명)'!J19=0),"",'정원(명)'!J19/어린이집수!K19)</f>
        <v>58.3820662768031</v>
      </c>
      <c r="K20" s="15" t="n">
        <f aca="false">IF(OR(어린이집수!L19=0,'정원(명)'!K19=0),"",'정원(명)'!K19/어린이집수!L19)</f>
        <v>58.7063492063492</v>
      </c>
      <c r="L20" s="15" t="n">
        <f aca="false">IF(OR(어린이집수!M19=0,'정원(명)'!L19=0),"",'정원(명)'!L19/어린이집수!M19)</f>
        <v>59.3394683026585</v>
      </c>
      <c r="M20" s="15" t="n">
        <f aca="false">IF(OR(어린이집수!N19=0,'정원(명)'!M19=0),"",'정원(명)'!M19/어린이집수!N19)</f>
        <v>58.2436974789916</v>
      </c>
      <c r="N20" s="15" t="n">
        <f aca="false">IF(OR(어린이집수!O19=0,'정원(명)'!N19=0),"",'정원(명)'!N19/어린이집수!O19)</f>
        <v>58.9090909090909</v>
      </c>
    </row>
    <row r="21" customFormat="false" ht="17.15" hidden="false" customHeight="false" outlineLevel="0" collapsed="false">
      <c r="A21" s="8" t="s">
        <v>29</v>
      </c>
      <c r="B21" s="15" t="n">
        <f aca="false">IF(OR(어린이집수!C20=0,'정원(명)'!B20=0),"",'정원(명)'!B20/어린이집수!C20)</f>
        <v>54.5337344220026</v>
      </c>
      <c r="C21" s="15" t="n">
        <f aca="false">IF(OR(어린이집수!D20=0,'정원(명)'!C20=0),"",'정원(명)'!C20/어린이집수!D20)</f>
        <v>53.9298393913779</v>
      </c>
      <c r="D21" s="15" t="n">
        <f aca="false">IF(OR(어린이집수!E20=0,'정원(명)'!D20=0),"",'정원(명)'!D20/어린이집수!E20)</f>
        <v>53.8220024721879</v>
      </c>
      <c r="E21" s="15" t="n">
        <f aca="false">IF(OR(어린이집수!F20=0,'정원(명)'!E20=0),"",'정원(명)'!E20/어린이집수!F20)</f>
        <v>53.5192074403558</v>
      </c>
      <c r="F21" s="15" t="n">
        <f aca="false">IF(OR(어린이집수!G20=0,'정원(명)'!F20=0),"",'정원(명)'!F20/어린이집수!G20)</f>
        <v>53.376898481215</v>
      </c>
      <c r="G21" s="15" t="n">
        <f aca="false">IF(OR(어린이집수!H20=0,'정원(명)'!G20=0),"",'정원(명)'!G20/어린이집수!H20)</f>
        <v>53.6662669864109</v>
      </c>
      <c r="H21" s="15" t="n">
        <f aca="false">IF(OR(어린이집수!I20=0,'정원(명)'!H20=0),"",'정원(명)'!H20/어린이집수!I20)</f>
        <v>53.5922057051025</v>
      </c>
      <c r="I21" s="15" t="n">
        <f aca="false">IF(OR(어린이집수!J20=0,'정원(명)'!I20=0),"",'정원(명)'!I20/어린이집수!J20)</f>
        <v>53.7722692462717</v>
      </c>
      <c r="J21" s="15" t="n">
        <f aca="false">IF(OR(어린이집수!K20=0,'정원(명)'!J20=0),"",'정원(명)'!J20/어린이집수!K20)</f>
        <v>53.9775</v>
      </c>
      <c r="K21" s="15" t="n">
        <f aca="false">IF(OR(어린이집수!L20=0,'정원(명)'!K20=0),"",'정원(명)'!K20/어린이집수!L20)</f>
        <v>54.542529748788</v>
      </c>
      <c r="L21" s="15" t="n">
        <f aca="false">IF(OR(어린이집수!M20=0,'정원(명)'!L20=0),"",'정원(명)'!L20/어린이집수!M20)</f>
        <v>54.2156771799629</v>
      </c>
      <c r="M21" s="15" t="n">
        <f aca="false">IF(OR(어린이집수!N20=0,'정원(명)'!M20=0),"",'정원(명)'!M20/어린이집수!N20)</f>
        <v>53.2026302971262</v>
      </c>
      <c r="N21" s="15" t="n">
        <f aca="false">IF(OR(어린이집수!O20=0,'정원(명)'!N20=0),"",'정원(명)'!N20/어린이집수!O20)</f>
        <v>52.9025270758123</v>
      </c>
    </row>
    <row r="22" customFormat="false" ht="15" hidden="false" customHeight="false" outlineLevel="0" collapsed="false">
      <c r="A22" s="6" t="s">
        <v>30</v>
      </c>
      <c r="B22" s="16" t="n">
        <f aca="false">IF(OR(어린이집수!C21=0,'정원(명)'!B21=0),"",'정원(명)'!B21/어린이집수!C21)</f>
        <v>40.9460035243681</v>
      </c>
      <c r="C22" s="16" t="n">
        <f aca="false">IF(OR(어린이집수!D21=0,'정원(명)'!C21=0),"",'정원(명)'!C21/어린이집수!D21)</f>
        <v>40.7095025350133</v>
      </c>
      <c r="D22" s="16" t="n">
        <f aca="false">IF(OR(어린이집수!E21=0,'정원(명)'!D21=0),"",'정원(명)'!D21/어린이집수!E21)</f>
        <v>40.489971077198</v>
      </c>
      <c r="E22" s="16" t="n">
        <f aca="false">IF(OR(어린이집수!F21=0,'정원(명)'!E21=0),"",'정원(명)'!E21/어린이집수!F21)</f>
        <v>40.7233036326251</v>
      </c>
      <c r="F22" s="16" t="n">
        <f aca="false">IF(OR(어린이집수!G21=0,'정원(명)'!F21=0),"",'정원(명)'!F21/어린이집수!G21)</f>
        <v>41.1654473960953</v>
      </c>
      <c r="G22" s="16" t="n">
        <f aca="false">IF(OR(어린이집수!H21=0,'정원(명)'!G21=0),"",'정원(명)'!G21/어린이집수!H21)</f>
        <v>42.1201166592187</v>
      </c>
      <c r="H22" s="16" t="n">
        <f aca="false">IF(OR(어린이집수!I21=0,'정원(명)'!H21=0),"",'정원(명)'!H21/어린이집수!I21)</f>
        <v>43.014896309999</v>
      </c>
      <c r="I22" s="16" t="n">
        <f aca="false">IF(OR(어린이집수!J21=0,'정원(명)'!I21=0),"",'정원(명)'!I21/어린이집수!J21)</f>
        <v>43.655325811422</v>
      </c>
      <c r="J22" s="16" t="n">
        <f aca="false">IF(OR(어린이집수!K21=0,'정원(명)'!J21=0),"",'정원(명)'!J21/어린이집수!K21)</f>
        <v>44.2246559955069</v>
      </c>
      <c r="K22" s="16" t="n">
        <f aca="false">IF(OR(어린이집수!L21=0,'정원(명)'!K21=0),"",'정원(명)'!K21/어린이집수!L21)</f>
        <v>45.1385566348238</v>
      </c>
      <c r="L22" s="16" t="n">
        <f aca="false">IF(OR(어린이집수!M21=0,'정원(명)'!L21=0),"",'정원(명)'!L21/어린이집수!M21)</f>
        <v>46.0584973976013</v>
      </c>
      <c r="M22" s="16" t="n">
        <f aca="false">IF(OR(어린이집수!N21=0,'정원(명)'!M21=0),"",'정원(명)'!M21/어린이집수!N21)</f>
        <v>46.847620766408</v>
      </c>
      <c r="N22" s="16" t="n">
        <f aca="false">IF(OR(어린이집수!O21=0,'정원(명)'!N21=0),"",'정원(명)'!N21/어린이집수!O21)</f>
        <v>47.7536461533486</v>
      </c>
    </row>
    <row r="25" customFormat="false" ht="17.15" hidden="false" customHeight="false" outlineLevel="0" collapsed="false">
      <c r="A25" s="12" t="s">
        <v>34</v>
      </c>
    </row>
    <row r="26" customFormat="false" ht="15" hidden="false" customHeight="false" outlineLevel="0" collapsed="false">
      <c r="A26" s="3" t="s">
        <v>2</v>
      </c>
      <c r="B26" s="3" t="n">
        <v>2010</v>
      </c>
      <c r="C26" s="3" t="n">
        <v>2011</v>
      </c>
      <c r="D26" s="3" t="n">
        <v>2012</v>
      </c>
      <c r="E26" s="3" t="n">
        <v>2013</v>
      </c>
      <c r="F26" s="3" t="n">
        <v>2014</v>
      </c>
      <c r="G26" s="3" t="n">
        <v>2015</v>
      </c>
      <c r="H26" s="3" t="n">
        <v>2016</v>
      </c>
      <c r="I26" s="3" t="n">
        <v>2017</v>
      </c>
      <c r="J26" s="3" t="n">
        <v>2018</v>
      </c>
      <c r="K26" s="3" t="n">
        <v>2019</v>
      </c>
      <c r="L26" s="3" t="n">
        <v>2020</v>
      </c>
      <c r="M26" s="3" t="n">
        <v>2021</v>
      </c>
      <c r="N26" s="3" t="n">
        <v>2022</v>
      </c>
    </row>
    <row r="27" customFormat="false" ht="15" hidden="false" customHeight="false" outlineLevel="0" collapsed="false">
      <c r="A27" s="8" t="s">
        <v>3</v>
      </c>
      <c r="B27" s="15" t="n">
        <f aca="false">IF(OR(어린이집수!C5=0,'현원(명)'!B5=0),"",'현원(명)'!B5/어린이집수!C5)</f>
        <v>35.1926746166951</v>
      </c>
      <c r="C27" s="15" t="n">
        <f aca="false">IF(OR(어린이집수!D5=0,'현원(명)'!C5=0),"",'현원(명)'!C5/어린이집수!D5)</f>
        <v>35.1945945945946</v>
      </c>
      <c r="D27" s="15" t="n">
        <f aca="false">IF(OR(어린이집수!E5=0,'현원(명)'!D5=0),"",'현원(명)'!D5/어린이집수!E5)</f>
        <v>36.6067604772102</v>
      </c>
      <c r="E27" s="15" t="n">
        <f aca="false">IF(OR(어린이집수!F5=0,'현원(명)'!E5=0),"",'현원(명)'!E5/어린이집수!F5)</f>
        <v>35.990507267873</v>
      </c>
      <c r="F27" s="15" t="n">
        <f aca="false">IF(OR(어린이집수!G5=0,'현원(명)'!F5=0),"",'현원(명)'!F5/어린이집수!G5)</f>
        <v>35.8673935464859</v>
      </c>
      <c r="G27" s="15" t="n">
        <f aca="false">IF(OR(어린이집수!H5=0,'현원(명)'!G5=0),"",'현원(명)'!G5/어린이집수!H5)</f>
        <v>36.0871476204911</v>
      </c>
      <c r="H27" s="15" t="n">
        <f aca="false">IF(OR(어린이집수!I5=0,'현원(명)'!H5=0),"",'현원(명)'!H5/어린이집수!I5)</f>
        <v>37.1466708542714</v>
      </c>
      <c r="I27" s="15" t="n">
        <f aca="false">IF(OR(어린이집수!J5=0,'현원(명)'!I5=0),"",'현원(명)'!I5/어린이집수!J5)</f>
        <v>37.7235785415997</v>
      </c>
      <c r="J27" s="15" t="n">
        <f aca="false">IF(OR(어린이집수!K5=0,'현원(명)'!J5=0),"",'현원(명)'!J5/어린이집수!K5)</f>
        <v>37.7761318242344</v>
      </c>
      <c r="K27" s="15" t="n">
        <f aca="false">IF(OR(어린이집수!L5=0,'현원(명)'!K5=0),"",'현원(명)'!K5/어린이집수!L5)</f>
        <v>38.1614601614602</v>
      </c>
      <c r="L27" s="15" t="n">
        <f aca="false">IF(OR(어린이집수!M5=0,'현원(명)'!L5=0),"",'현원(명)'!L5/어린이집수!M5)</f>
        <v>36.5474860335196</v>
      </c>
      <c r="M27" s="15" t="n">
        <f aca="false">IF(OR(어린이집수!N5=0,'현원(명)'!M5=0),"",'현원(명)'!M5/어린이집수!N5)</f>
        <v>36.2293523469994</v>
      </c>
      <c r="N27" s="15" t="n">
        <f aca="false">IF(OR(어린이집수!O5=0,'현원(명)'!N5=0),"",'현원(명)'!N5/어린이집수!O5)</f>
        <v>35.5320458404075</v>
      </c>
    </row>
    <row r="28" customFormat="false" ht="15" hidden="false" customHeight="false" outlineLevel="0" collapsed="false">
      <c r="A28" s="8" t="s">
        <v>4</v>
      </c>
      <c r="B28" s="15" t="n">
        <f aca="false">IF(OR(어린이집수!C6=0,'현원(명)'!B6=0),"",'현원(명)'!B6/어린이집수!C6)</f>
        <v>38.9709887507401</v>
      </c>
      <c r="C28" s="15" t="n">
        <f aca="false">IF(OR(어린이집수!D6=0,'현원(명)'!C6=0),"",'현원(명)'!C6/어린이집수!D6)</f>
        <v>39.1091954022989</v>
      </c>
      <c r="D28" s="15" t="n">
        <f aca="false">IF(OR(어린이집수!E6=0,'현원(명)'!D6=0),"",'현원(명)'!D6/어린이집수!E6)</f>
        <v>40.4322404371585</v>
      </c>
      <c r="E28" s="15" t="n">
        <f aca="false">IF(OR(어린이집수!F6=0,'현원(명)'!E6=0),"",'현원(명)'!E6/어린이집수!F6)</f>
        <v>39.1760674749605</v>
      </c>
      <c r="F28" s="15" t="n">
        <f aca="false">IF(OR(어린이집수!G6=0,'현원(명)'!F6=0),"",'현원(명)'!F6/어린이집수!G6)</f>
        <v>38.5319366377108</v>
      </c>
      <c r="G28" s="15" t="n">
        <f aca="false">IF(OR(어린이집수!H6=0,'현원(명)'!G6=0),"",'현원(명)'!G6/어린이집수!H6)</f>
        <v>37.5459157787925</v>
      </c>
      <c r="H28" s="15" t="n">
        <f aca="false">IF(OR(어린이집수!I6=0,'현원(명)'!H6=0),"",'현원(명)'!H6/어린이집수!I6)</f>
        <v>38.7227671657202</v>
      </c>
      <c r="I28" s="15" t="n">
        <f aca="false">IF(OR(어린이집수!J6=0,'현원(명)'!I6=0),"",'현원(명)'!I6/어린이집수!J6)</f>
        <v>39.0473958333333</v>
      </c>
      <c r="J28" s="15" t="n">
        <f aca="false">IF(OR(어린이집수!K6=0,'현원(명)'!J6=0),"",'현원(명)'!J6/어린이집수!K6)</f>
        <v>38.9138022210471</v>
      </c>
      <c r="K28" s="15" t="n">
        <f aca="false">IF(OR(어린이집수!L6=0,'현원(명)'!K6=0),"",'현원(명)'!K6/어린이집수!L6)</f>
        <v>38.4074675324675</v>
      </c>
      <c r="L28" s="15" t="n">
        <f aca="false">IF(OR(어린이집수!M6=0,'현원(명)'!L6=0),"",'현원(명)'!L6/어린이집수!M6)</f>
        <v>36.7210348706412</v>
      </c>
      <c r="M28" s="15" t="n">
        <f aca="false">IF(OR(어린이집수!N6=0,'현원(명)'!M6=0),"",'현원(명)'!M6/어린이집수!N6)</f>
        <v>36.9370503597122</v>
      </c>
      <c r="N28" s="15" t="n">
        <f aca="false">IF(OR(어린이집수!O6=0,'현원(명)'!N6=0),"",'현원(명)'!N6/어린이집수!O6)</f>
        <v>36.1021331609567</v>
      </c>
    </row>
    <row r="29" customFormat="false" ht="15" hidden="false" customHeight="false" outlineLevel="0" collapsed="false">
      <c r="A29" s="8" t="s">
        <v>5</v>
      </c>
      <c r="B29" s="15" t="n">
        <f aca="false">IF(OR(어린이집수!C7=0,'현원(명)'!B7=0),"",'현원(명)'!B7/어린이집수!C7)</f>
        <v>40.0032383419689</v>
      </c>
      <c r="C29" s="15" t="n">
        <f aca="false">IF(OR(어린이집수!D7=0,'현원(명)'!C7=0),"",'현원(명)'!C7/어린이집수!D7)</f>
        <v>40.4343369634849</v>
      </c>
      <c r="D29" s="15" t="n">
        <f aca="false">IF(OR(어린이집수!E7=0,'현원(명)'!D7=0),"",'현원(명)'!D7/어린이집수!E7)</f>
        <v>42.2753164556962</v>
      </c>
      <c r="E29" s="15" t="n">
        <f aca="false">IF(OR(어린이집수!F7=0,'현원(명)'!E7=0),"",'현원(명)'!E7/어린이집수!F7)</f>
        <v>39.940251572327</v>
      </c>
      <c r="F29" s="15" t="n">
        <f aca="false">IF(OR(어린이집수!G7=0,'현원(명)'!F7=0),"",'현원(명)'!F7/어린이집수!G7)</f>
        <v>39.5617128463476</v>
      </c>
      <c r="G29" s="15" t="n">
        <f aca="false">IF(OR(어린이집수!H7=0,'현원(명)'!G7=0),"",'현원(명)'!G7/어린이집수!H7)</f>
        <v>38.6283300844704</v>
      </c>
      <c r="H29" s="15" t="n">
        <f aca="false">IF(OR(어린이집수!I7=0,'현원(명)'!H7=0),"",'현원(명)'!H7/어린이집수!I7)</f>
        <v>39.5859743762643</v>
      </c>
      <c r="I29" s="15" t="n">
        <f aca="false">IF(OR(어린이집수!J7=0,'현원(명)'!I7=0),"",'현원(명)'!I7/어린이집수!J7)</f>
        <v>40.021174863388</v>
      </c>
      <c r="J29" s="15" t="n">
        <f aca="false">IF(OR(어린이집수!K7=0,'현원(명)'!J7=0),"",'현원(명)'!J7/어린이집수!K7)</f>
        <v>40.5288256227758</v>
      </c>
      <c r="K29" s="15" t="n">
        <f aca="false">IF(OR(어린이집수!L7=0,'현원(명)'!K7=0),"",'현원(명)'!K7/어린이집수!L7)</f>
        <v>41.3320726172466</v>
      </c>
      <c r="L29" s="15" t="n">
        <f aca="false">IF(OR(어린이집수!M7=0,'현원(명)'!L7=0),"",'현원(명)'!L7/어린이집수!M7)</f>
        <v>38.666403785489</v>
      </c>
      <c r="M29" s="15" t="n">
        <f aca="false">IF(OR(어린이집수!N7=0,'현원(명)'!M7=0),"",'현원(명)'!M7/어린이집수!N7)</f>
        <v>38.9309182813816</v>
      </c>
      <c r="N29" s="15" t="n">
        <f aca="false">IF(OR(어린이집수!O7=0,'현원(명)'!N7=0),"",'현원(명)'!N7/어린이집수!O7)</f>
        <v>37.3020193151888</v>
      </c>
    </row>
    <row r="30" customFormat="false" ht="15" hidden="false" customHeight="false" outlineLevel="0" collapsed="false">
      <c r="A30" s="8" t="s">
        <v>6</v>
      </c>
      <c r="B30" s="15" t="n">
        <f aca="false">IF(OR(어린이집수!C8=0,'현원(명)'!B8=0),"",'현원(명)'!B8/어린이집수!C8)</f>
        <v>35.0430802369413</v>
      </c>
      <c r="C30" s="15" t="n">
        <f aca="false">IF(OR(어린이집수!D8=0,'현원(명)'!C8=0),"",'현원(명)'!C8/어린이집수!D8)</f>
        <v>35.7262262262262</v>
      </c>
      <c r="D30" s="15" t="n">
        <f aca="false">IF(OR(어린이집수!E8=0,'현원(명)'!D8=0),"",'현원(명)'!D8/어린이집수!E8)</f>
        <v>36.5662540119211</v>
      </c>
      <c r="E30" s="15" t="n">
        <f aca="false">IF(OR(어린이집수!F8=0,'현원(명)'!E8=0),"",'현원(명)'!E8/어린이집수!F8)</f>
        <v>36.1449403446752</v>
      </c>
      <c r="F30" s="15" t="n">
        <f aca="false">IF(OR(어린이집수!G8=0,'현원(명)'!F8=0),"",'현원(명)'!F8/어린이집수!G8)</f>
        <v>36.278596187175</v>
      </c>
      <c r="G30" s="15" t="n">
        <f aca="false">IF(OR(어린이집수!H8=0,'현원(명)'!G8=0),"",'현원(명)'!G8/어린이집수!H8)</f>
        <v>35.7124670763828</v>
      </c>
      <c r="H30" s="15" t="n">
        <f aca="false">IF(OR(어린이집수!I8=0,'현원(명)'!H8=0),"",'현원(명)'!H8/어린이집수!I8)</f>
        <v>36.3496190049305</v>
      </c>
      <c r="I30" s="15" t="n">
        <f aca="false">IF(OR(어린이집수!J8=0,'현원(명)'!I8=0),"",'현원(명)'!I8/어린이집수!J8)</f>
        <v>37.0059469350412</v>
      </c>
      <c r="J30" s="15" t="n">
        <f aca="false">IF(OR(어린이집수!K8=0,'현원(명)'!J8=0),"",'현원(명)'!J8/어린이집수!K8)</f>
        <v>36.9752452125175</v>
      </c>
      <c r="K30" s="15" t="n">
        <f aca="false">IF(OR(어린이집수!L8=0,'현원(명)'!K8=0),"",'현원(명)'!K8/어린이집수!L8)</f>
        <v>37.1322596388482</v>
      </c>
      <c r="L30" s="15" t="n">
        <f aca="false">IF(OR(어린이집수!M8=0,'현원(명)'!L8=0),"",'현원(명)'!L8/어린이집수!M8)</f>
        <v>35.0519814719506</v>
      </c>
      <c r="M30" s="15" t="n">
        <f aca="false">IF(OR(어린이집수!N8=0,'현원(명)'!M8=0),"",'현원(명)'!M8/어린이집수!N8)</f>
        <v>36.4187465335552</v>
      </c>
      <c r="N30" s="15" t="n">
        <f aca="false">IF(OR(어린이집수!O8=0,'현원(명)'!N8=0),"",'현원(명)'!N8/어린이집수!O8)</f>
        <v>36.652916912198</v>
      </c>
    </row>
    <row r="31" customFormat="false" ht="15" hidden="false" customHeight="false" outlineLevel="0" collapsed="false">
      <c r="A31" s="8" t="s">
        <v>7</v>
      </c>
      <c r="B31" s="15" t="n">
        <f aca="false">IF(OR(어린이집수!C9=0,'현원(명)'!B9=0),"",'현원(명)'!B9/어린이집수!C9)</f>
        <v>27.4299674267101</v>
      </c>
      <c r="C31" s="15" t="n">
        <f aca="false">IF(OR(어린이집수!D9=0,'현원(명)'!C9=0),"",'현원(명)'!C9/어린이집수!D9)</f>
        <v>27.8755472170106</v>
      </c>
      <c r="D31" s="15" t="n">
        <f aca="false">IF(OR(어린이집수!E9=0,'현원(명)'!D9=0),"",'현원(명)'!D9/어린이집수!E9)</f>
        <v>29.1934900542495</v>
      </c>
      <c r="E31" s="15" t="n">
        <f aca="false">IF(OR(어린이집수!F9=0,'현원(명)'!E9=0),"",'현원(명)'!E9/어린이집수!F9)</f>
        <v>28.0732142857143</v>
      </c>
      <c r="F31" s="15" t="n">
        <f aca="false">IF(OR(어린이집수!G9=0,'현원(명)'!F9=0),"",'현원(명)'!F9/어린이집수!G9)</f>
        <v>27.5965842167256</v>
      </c>
      <c r="G31" s="15" t="n">
        <f aca="false">IF(OR(어린이집수!H9=0,'현원(명)'!G9=0),"",'현원(명)'!G9/어린이집수!H9)</f>
        <v>26.7771120431396</v>
      </c>
      <c r="H31" s="15" t="n">
        <f aca="false">IF(OR(어린이집수!I9=0,'현원(명)'!H9=0),"",'현원(명)'!H9/어린이집수!I9)</f>
        <v>28.0820707070707</v>
      </c>
      <c r="I31" s="15" t="n">
        <f aca="false">IF(OR(어린이집수!J9=0,'현원(명)'!I9=0),"",'현원(명)'!I9/어린이집수!J9)</f>
        <v>29.0770764119601</v>
      </c>
      <c r="J31" s="15" t="n">
        <f aca="false">IF(OR(어린이집수!K9=0,'현원(명)'!J9=0),"",'현원(명)'!J9/어린이집수!K9)</f>
        <v>29.5540540540541</v>
      </c>
      <c r="K31" s="15" t="n">
        <f aca="false">IF(OR(어린이집수!L9=0,'현원(명)'!K9=0),"",'현원(명)'!K9/어린이집수!L9)</f>
        <v>29.9114906832298</v>
      </c>
      <c r="L31" s="15" t="n">
        <f aca="false">IF(OR(어린이집수!M9=0,'현원(명)'!L9=0),"",'현원(명)'!L9/어린이집수!M9)</f>
        <v>28.7232067510549</v>
      </c>
      <c r="M31" s="15" t="n">
        <f aca="false">IF(OR(어린이집수!N9=0,'현원(명)'!M9=0),"",'현원(명)'!M9/어린이집수!N9)</f>
        <v>28.3169845594914</v>
      </c>
      <c r="N31" s="15" t="n">
        <f aca="false">IF(OR(어린이집수!O9=0,'현원(명)'!N9=0),"",'현원(명)'!N9/어린이집수!O9)</f>
        <v>27.7828232971372</v>
      </c>
    </row>
    <row r="32" customFormat="false" ht="15" hidden="false" customHeight="false" outlineLevel="0" collapsed="false">
      <c r="A32" s="8" t="s">
        <v>8</v>
      </c>
      <c r="B32" s="15" t="n">
        <f aca="false">IF(OR(어린이집수!C10=0,'현원(명)'!B10=0),"",'현원(명)'!B10/어린이집수!C10)</f>
        <v>36.2732095490716</v>
      </c>
      <c r="C32" s="15" t="n">
        <f aca="false">IF(OR(어린이집수!D10=0,'현원(명)'!C10=0),"",'현원(명)'!C10/어린이집수!D10)</f>
        <v>36.6454767726161</v>
      </c>
      <c r="D32" s="15" t="n">
        <f aca="false">IF(OR(어린이집수!E10=0,'현원(명)'!D10=0),"",'현원(명)'!D10/어린이집수!E10)</f>
        <v>37.8499440089586</v>
      </c>
      <c r="E32" s="15" t="n">
        <f aca="false">IF(OR(어린이집수!F10=0,'현원(명)'!E10=0),"",'현원(명)'!E10/어린이집수!F10)</f>
        <v>36.7299035369775</v>
      </c>
      <c r="F32" s="15" t="n">
        <f aca="false">IF(OR(어린이집수!G10=0,'현원(명)'!F10=0),"",'현원(명)'!F10/어린이집수!G10)</f>
        <v>37.4027484143763</v>
      </c>
      <c r="G32" s="15" t="n">
        <f aca="false">IF(OR(어린이집수!H10=0,'현원(명)'!G10=0),"",'현원(명)'!G10/어린이집수!H10)</f>
        <v>37.1263383297645</v>
      </c>
      <c r="H32" s="15" t="n">
        <f aca="false">IF(OR(어린이집수!I10=0,'현원(명)'!H10=0),"",'현원(명)'!H10/어린이집수!I10)</f>
        <v>38.8402234636872</v>
      </c>
      <c r="I32" s="15" t="n">
        <f aca="false">IF(OR(어린이집수!J10=0,'현원(명)'!I10=0),"",'현원(명)'!I10/어린이집수!J10)</f>
        <v>39.3382519863791</v>
      </c>
      <c r="J32" s="15" t="n">
        <f aca="false">IF(OR(어린이집수!K10=0,'현원(명)'!J10=0),"",'현원(명)'!J10/어린이집수!K10)</f>
        <v>39.6728110599078</v>
      </c>
      <c r="K32" s="15" t="n">
        <f aca="false">IF(OR(어린이집수!L10=0,'현원(명)'!K10=0),"",'현원(명)'!K10/어린이집수!L10)</f>
        <v>39.5665083135392</v>
      </c>
      <c r="L32" s="15" t="n">
        <f aca="false">IF(OR(어린이집수!M10=0,'현원(명)'!L10=0),"",'현원(명)'!L10/어린이집수!M10)</f>
        <v>37.7278481012658</v>
      </c>
      <c r="M32" s="15" t="n">
        <f aca="false">IF(OR(어린이집수!N10=0,'현원(명)'!M10=0),"",'현원(명)'!M10/어린이집수!N10)</f>
        <v>37.9555555555556</v>
      </c>
      <c r="N32" s="15" t="n">
        <f aca="false">IF(OR(어린이집수!O10=0,'현원(명)'!N10=0),"",'현원(명)'!N10/어린이집수!O10)</f>
        <v>37.9451219512195</v>
      </c>
    </row>
    <row r="33" customFormat="false" ht="15" hidden="false" customHeight="false" outlineLevel="0" collapsed="false">
      <c r="A33" s="8" t="s">
        <v>9</v>
      </c>
      <c r="B33" s="15" t="str">
        <f aca="false">IF(OR(어린이집수!C11=0,'현원(명)'!B11=0),"",'현원(명)'!B11/어린이집수!C11)</f>
        <v/>
      </c>
      <c r="C33" s="15" t="str">
        <f aca="false">IF(OR(어린이집수!D11=0,'현원(명)'!C11=0),"",'현원(명)'!C11/어린이집수!D11)</f>
        <v/>
      </c>
      <c r="D33" s="15" t="n">
        <f aca="false">IF(OR(어린이집수!E11=0,'현원(명)'!D11=0),"",'현원(명)'!D11/어린이집수!E11)</f>
        <v>42.8962264150943</v>
      </c>
      <c r="E33" s="15" t="n">
        <f aca="false">IF(OR(어린이집수!F11=0,'현원(명)'!E11=0),"",'현원(명)'!E11/어린이집수!F11)</f>
        <v>43.7118644067797</v>
      </c>
      <c r="F33" s="15" t="n">
        <f aca="false">IF(OR(어린이집수!G11=0,'현원(명)'!F11=0),"",'현원(명)'!F11/어린이집수!G11)</f>
        <v>40.03125</v>
      </c>
      <c r="G33" s="15" t="n">
        <f aca="false">IF(OR(어린이집수!H11=0,'현원(명)'!G11=0),"",'현원(명)'!G11/어린이집수!H11)</f>
        <v>40.3842592592593</v>
      </c>
      <c r="H33" s="15" t="n">
        <f aca="false">IF(OR(어린이집수!I11=0,'현원(명)'!H11=0),"",'현원(명)'!H11/어린이집수!I11)</f>
        <v>43.384</v>
      </c>
      <c r="I33" s="15" t="n">
        <f aca="false">IF(OR(어린이집수!J11=0,'현원(명)'!I11=0),"",'현원(명)'!I11/어린이집수!J11)</f>
        <v>43.5294117647059</v>
      </c>
      <c r="J33" s="15" t="n">
        <f aca="false">IF(OR(어린이집수!K11=0,'현원(명)'!J11=0),"",'현원(명)'!J11/어린이집수!K11)</f>
        <v>41.6851311953353</v>
      </c>
      <c r="K33" s="15" t="n">
        <f aca="false">IF(OR(어린이집수!L11=0,'현원(명)'!K11=0),"",'현원(명)'!K11/어린이집수!L11)</f>
        <v>43.2451253481894</v>
      </c>
      <c r="L33" s="15" t="n">
        <f aca="false">IF(OR(어린이집수!M11=0,'현원(명)'!L11=0),"",'현원(명)'!L11/어린이집수!M11)</f>
        <v>43.8542857142857</v>
      </c>
      <c r="M33" s="15" t="n">
        <f aca="false">IF(OR(어린이집수!N11=0,'현원(명)'!M11=0),"",'현원(명)'!M11/어린이집수!N11)</f>
        <v>44.4548104956268</v>
      </c>
      <c r="N33" s="15" t="n">
        <f aca="false">IF(OR(어린이집수!O11=0,'현원(명)'!N11=0),"",'현원(명)'!N11/어린이집수!O11)</f>
        <v>45.6483180428135</v>
      </c>
    </row>
    <row r="34" customFormat="false" ht="15" hidden="false" customHeight="false" outlineLevel="0" collapsed="false">
      <c r="A34" s="8" t="s">
        <v>10</v>
      </c>
      <c r="B34" s="15" t="n">
        <f aca="false">IF(OR(어린이집수!C12=0,'현원(명)'!B12=0),"",'현원(명)'!B12/어린이집수!C12)</f>
        <v>28.3913776279606</v>
      </c>
      <c r="C34" s="15" t="n">
        <f aca="false">IF(OR(어린이집수!D12=0,'현원(명)'!C12=0),"",'현원(명)'!C12/어린이집수!D12)</f>
        <v>29.1184778012685</v>
      </c>
      <c r="D34" s="15" t="n">
        <f aca="false">IF(OR(어린이집수!E12=0,'현원(명)'!D12=0),"",'현원(명)'!D12/어린이집수!E12)</f>
        <v>30.5008159142125</v>
      </c>
      <c r="E34" s="15" t="n">
        <f aca="false">IF(OR(어린이집수!F12=0,'현원(명)'!E12=0),"",'현원(명)'!E12/어린이집수!F12)</f>
        <v>29.7557617479796</v>
      </c>
      <c r="F34" s="15" t="n">
        <f aca="false">IF(OR(어린이집수!G12=0,'현원(명)'!F12=0),"",'현원(명)'!F12/어린이집수!G12)</f>
        <v>30.3903009276718</v>
      </c>
      <c r="G34" s="15" t="n">
        <f aca="false">IF(OR(어린이집수!H12=0,'현원(명)'!G12=0),"",'현원(명)'!G12/어린이집수!H12)</f>
        <v>30.6878398612972</v>
      </c>
      <c r="H34" s="15" t="n">
        <f aca="false">IF(OR(어린이집수!I12=0,'현원(명)'!H12=0),"",'현원(명)'!H12/어린이집수!I12)</f>
        <v>32.25</v>
      </c>
      <c r="I34" s="15" t="n">
        <f aca="false">IF(OR(어린이집수!J12=0,'현원(명)'!I12=0),"",'현원(명)'!I12/어린이집수!J12)</f>
        <v>33.3938266384778</v>
      </c>
      <c r="J34" s="15" t="n">
        <f aca="false">IF(OR(어린이집수!K12=0,'현원(명)'!J12=0),"",'현원(명)'!J12/어린이집수!K12)</f>
        <v>33.6542544084917</v>
      </c>
      <c r="K34" s="15" t="n">
        <f aca="false">IF(OR(어린이집수!L12=0,'현원(명)'!K12=0),"",'현원(명)'!K12/어린이집수!L12)</f>
        <v>34.409907120743</v>
      </c>
      <c r="L34" s="15" t="n">
        <f aca="false">IF(OR(어린이집수!M12=0,'현원(명)'!L12=0),"",'현원(명)'!L12/어린이집수!M12)</f>
        <v>33.3438342161509</v>
      </c>
      <c r="M34" s="15" t="n">
        <f aca="false">IF(OR(어린이집수!N12=0,'현원(명)'!M12=0),"",'현원(명)'!M12/어린이집수!N12)</f>
        <v>34.5419297553275</v>
      </c>
      <c r="N34" s="15" t="n">
        <f aca="false">IF(OR(어린이집수!O12=0,'현원(명)'!N12=0),"",'현원(명)'!N12/어린이집수!O12)</f>
        <v>35.1256622165713</v>
      </c>
    </row>
    <row r="35" customFormat="false" ht="15" hidden="false" customHeight="false" outlineLevel="0" collapsed="false">
      <c r="A35" s="8" t="s">
        <v>11</v>
      </c>
      <c r="B35" s="15" t="n">
        <f aca="false">IF(OR(어린이집수!C13=0,'현원(명)'!B13=0),"",'현원(명)'!B13/어린이집수!C13)</f>
        <v>38.0571428571429</v>
      </c>
      <c r="C35" s="15" t="n">
        <f aca="false">IF(OR(어린이집수!D13=0,'현원(명)'!C13=0),"",'현원(명)'!C13/어린이집수!D13)</f>
        <v>37.485614646905</v>
      </c>
      <c r="D35" s="15" t="n">
        <f aca="false">IF(OR(어린이집수!E13=0,'현원(명)'!D13=0),"",'현원(명)'!D13/어린이집수!E13)</f>
        <v>36.9831189710611</v>
      </c>
      <c r="E35" s="15" t="n">
        <f aca="false">IF(OR(어린이집수!F13=0,'현원(명)'!E13=0),"",'현원(명)'!E13/어린이집수!F13)</f>
        <v>35.6624505928854</v>
      </c>
      <c r="F35" s="15" t="n">
        <f aca="false">IF(OR(어린이집수!G13=0,'현원(명)'!F13=0),"",'현원(명)'!F13/어린이집수!G13)</f>
        <v>35.2267303102625</v>
      </c>
      <c r="G35" s="15" t="n">
        <f aca="false">IF(OR(어린이집수!H13=0,'현원(명)'!G13=0),"",'현원(명)'!G13/어린이집수!H13)</f>
        <v>34.4237978810106</v>
      </c>
      <c r="H35" s="15" t="n">
        <f aca="false">IF(OR(어린이집수!I13=0,'현원(명)'!H13=0),"",'현원(명)'!H13/어린이집수!I13)</f>
        <v>35.3754237288136</v>
      </c>
      <c r="I35" s="15" t="n">
        <f aca="false">IF(OR(어린이집수!J13=0,'현원(명)'!I13=0),"",'현원(명)'!I13/어린이집수!J13)</f>
        <v>35.7006092254134</v>
      </c>
      <c r="J35" s="15" t="n">
        <f aca="false">IF(OR(어린이집수!K13=0,'현원(명)'!J13=0),"",'현원(명)'!J13/어린이집수!K13)</f>
        <v>36.2219152854512</v>
      </c>
      <c r="K35" s="15" t="n">
        <f aca="false">IF(OR(어린이집수!L13=0,'현원(명)'!K13=0),"",'현원(명)'!K13/어린이집수!L13)</f>
        <v>36.5849420849421</v>
      </c>
      <c r="L35" s="15" t="n">
        <f aca="false">IF(OR(어린이집수!M13=0,'현원(명)'!L13=0),"",'현원(명)'!L13/어린이집수!M13)</f>
        <v>35.4414414414414</v>
      </c>
      <c r="M35" s="15" t="n">
        <f aca="false">IF(OR(어린이집수!N13=0,'현원(명)'!M13=0),"",'현원(명)'!M13/어린이집수!N13)</f>
        <v>36.2914046121593</v>
      </c>
      <c r="N35" s="15" t="n">
        <f aca="false">IF(OR(어린이집수!O13=0,'현원(명)'!N13=0),"",'현원(명)'!N13/어린이집수!O13)</f>
        <v>36.0706401766004</v>
      </c>
    </row>
    <row r="36" customFormat="false" ht="15" hidden="false" customHeight="false" outlineLevel="0" collapsed="false">
      <c r="A36" s="8" t="s">
        <v>12</v>
      </c>
      <c r="B36" s="15" t="n">
        <f aca="false">IF(OR(어린이집수!C14=0,'현원(명)'!B14=0),"",'현원(명)'!B14/어린이집수!C14)</f>
        <v>41.351618705036</v>
      </c>
      <c r="C36" s="15" t="n">
        <f aca="false">IF(OR(어린이집수!D14=0,'현원(명)'!C14=0),"",'현원(명)'!C14/어린이집수!D14)</f>
        <v>42.5869373345102</v>
      </c>
      <c r="D36" s="15" t="n">
        <f aca="false">IF(OR(어린이집수!E14=0,'현원(명)'!D14=0),"",'현원(명)'!D14/어린이집수!E14)</f>
        <v>43.6530958439355</v>
      </c>
      <c r="E36" s="15" t="n">
        <f aca="false">IF(OR(어린이집수!F14=0,'현원(명)'!E14=0),"",'현원(명)'!E14/어린이집수!F14)</f>
        <v>42.4719471947195</v>
      </c>
      <c r="F36" s="15" t="n">
        <f aca="false">IF(OR(어린이집수!G14=0,'현원(명)'!F14=0),"",'현원(명)'!F14/어린이집수!G14)</f>
        <v>41.8966639544345</v>
      </c>
      <c r="G36" s="15" t="n">
        <f aca="false">IF(OR(어린이집수!H14=0,'현원(명)'!G14=0),"",'현원(명)'!G14/어린이집수!H14)</f>
        <v>40.4772357723577</v>
      </c>
      <c r="H36" s="15" t="n">
        <f aca="false">IF(OR(어린이집수!I14=0,'현원(명)'!H14=0),"",'현원(명)'!H14/어린이집수!I14)</f>
        <v>41.4023178807947</v>
      </c>
      <c r="I36" s="15" t="n">
        <f aca="false">IF(OR(어린이집수!J14=0,'현원(명)'!I14=0),"",'현원(명)'!I14/어린이집수!J14)</f>
        <v>42.070826306914</v>
      </c>
      <c r="J36" s="15" t="n">
        <f aca="false">IF(OR(어린이집수!K14=0,'현원(명)'!J14=0),"",'현원(명)'!J14/어린이집수!K14)</f>
        <v>42.1555747623163</v>
      </c>
      <c r="K36" s="15" t="n">
        <f aca="false">IF(OR(어린이집수!L14=0,'현원(명)'!K14=0),"",'현원(명)'!K14/어린이집수!L14)</f>
        <v>41.8283185840708</v>
      </c>
      <c r="L36" s="15" t="n">
        <f aca="false">IF(OR(어린이집수!M14=0,'현원(명)'!L14=0),"",'현원(명)'!L14/어린이집수!M14)</f>
        <v>40.3650646950092</v>
      </c>
      <c r="M36" s="15" t="n">
        <f aca="false">IF(OR(어린이집수!N14=0,'현원(명)'!M14=0),"",'현원(명)'!M14/어린이집수!N14)</f>
        <v>40.426103646833</v>
      </c>
      <c r="N36" s="15" t="n">
        <f aca="false">IF(OR(어린이집수!O14=0,'현원(명)'!N14=0),"",'현원(명)'!N14/어린이집수!O14)</f>
        <v>40.0041152263375</v>
      </c>
    </row>
    <row r="37" customFormat="false" ht="15" hidden="false" customHeight="false" outlineLevel="0" collapsed="false">
      <c r="A37" s="8" t="s">
        <v>13</v>
      </c>
      <c r="B37" s="15" t="n">
        <f aca="false">IF(OR(어린이집수!C15=0,'현원(명)'!B15=0),"",'현원(명)'!B15/어린이집수!C15)</f>
        <v>34.561351511559</v>
      </c>
      <c r="C37" s="15" t="n">
        <f aca="false">IF(OR(어린이집수!D15=0,'현원(명)'!C15=0),"",'현원(명)'!C15/어린이집수!D15)</f>
        <v>34.0527732902531</v>
      </c>
      <c r="D37" s="15" t="n">
        <f aca="false">IF(OR(어린이집수!E15=0,'현원(명)'!D15=0),"",'현원(명)'!D15/어린이집수!E15)</f>
        <v>33.9658463083877</v>
      </c>
      <c r="E37" s="15" t="n">
        <f aca="false">IF(OR(어린이집수!F15=0,'현원(명)'!E15=0),"",'현원(명)'!E15/어린이집수!F15)</f>
        <v>33.3149303888622</v>
      </c>
      <c r="F37" s="15" t="n">
        <f aca="false">IF(OR(어린이집수!G15=0,'현원(명)'!F15=0),"",'현원(명)'!F15/어린이집수!G15)</f>
        <v>34.1037506088651</v>
      </c>
      <c r="G37" s="15" t="n">
        <f aca="false">IF(OR(어린이집수!H15=0,'현원(명)'!G15=0),"",'현원(명)'!G15/어린이집수!H15)</f>
        <v>34.5824949698189</v>
      </c>
      <c r="H37" s="15" t="n">
        <f aca="false">IF(OR(어린이집수!I15=0,'현원(명)'!H15=0),"",'현원(명)'!H15/어린이집수!I15)</f>
        <v>35.1388044579534</v>
      </c>
      <c r="I37" s="15" t="n">
        <f aca="false">IF(OR(어린이집수!J15=0,'현원(명)'!I15=0),"",'현원(명)'!I15/어린이집수!J15)</f>
        <v>35.6966751918159</v>
      </c>
      <c r="J37" s="15" t="n">
        <f aca="false">IF(OR(어린이집수!K15=0,'현원(명)'!J15=0),"",'현원(명)'!J15/어린이집수!K15)</f>
        <v>35.705114822547</v>
      </c>
      <c r="K37" s="15" t="n">
        <f aca="false">IF(OR(어린이집수!L15=0,'현원(명)'!K15=0),"",'현원(명)'!K15/어린이집수!L15)</f>
        <v>36.0397350993378</v>
      </c>
      <c r="L37" s="15" t="n">
        <f aca="false">IF(OR(어린이집수!M15=0,'현원(명)'!L15=0),"",'현원(명)'!L15/어린이집수!M15)</f>
        <v>34.582993593477</v>
      </c>
      <c r="M37" s="15" t="n">
        <f aca="false">IF(OR(어린이집수!N15=0,'현원(명)'!M15=0),"",'현원(명)'!M15/어린이집수!N15)</f>
        <v>34.7716923076923</v>
      </c>
      <c r="N37" s="15" t="n">
        <f aca="false">IF(OR(어린이집수!O15=0,'현원(명)'!N15=0),"",'현원(명)'!N15/어린이집수!O15)</f>
        <v>34.4300791556728</v>
      </c>
    </row>
    <row r="38" customFormat="false" ht="15" hidden="false" customHeight="false" outlineLevel="0" collapsed="false">
      <c r="A38" s="8" t="s">
        <v>14</v>
      </c>
      <c r="B38" s="15" t="n">
        <f aca="false">IF(OR(어린이집수!C16=0,'현원(명)'!B16=0),"",'현원(명)'!B16/어린이집수!C16)</f>
        <v>36.9242325277596</v>
      </c>
      <c r="C38" s="15" t="n">
        <f aca="false">IF(OR(어린이집수!D16=0,'현원(명)'!C16=0),"",'현원(명)'!C16/어린이집수!D16)</f>
        <v>36.1481012658228</v>
      </c>
      <c r="D38" s="15" t="n">
        <f aca="false">IF(OR(어린이집수!E16=0,'현원(명)'!D16=0),"",'현원(명)'!D16/어린이집수!E16)</f>
        <v>37.2845679012346</v>
      </c>
      <c r="E38" s="15" t="n">
        <f aca="false">IF(OR(어린이집수!F16=0,'현원(명)'!E16=0),"",'현원(명)'!E16/어린이집수!F16)</f>
        <v>35.853066180935</v>
      </c>
      <c r="F38" s="15" t="n">
        <f aca="false">IF(OR(어린이집수!G16=0,'현원(명)'!F16=0),"",'현원(명)'!F16/어린이집수!G16)</f>
        <v>35.2648125755744</v>
      </c>
      <c r="G38" s="15" t="n">
        <f aca="false">IF(OR(어린이집수!H16=0,'현원(명)'!G16=0),"",'현원(명)'!G16/어린이집수!H16)</f>
        <v>34.0271102895872</v>
      </c>
      <c r="H38" s="15" t="n">
        <f aca="false">IF(OR(어린이집수!I16=0,'현원(명)'!H16=0),"",'현원(명)'!H16/어린이집수!I16)</f>
        <v>34.4417413572343</v>
      </c>
      <c r="I38" s="15" t="n">
        <f aca="false">IF(OR(어린이집수!J16=0,'현원(명)'!I16=0),"",'현원(명)'!I16/어린이집수!J16)</f>
        <v>34.8062792251169</v>
      </c>
      <c r="J38" s="15" t="n">
        <f aca="false">IF(OR(어린이집수!K16=0,'현원(명)'!J16=0),"",'현원(명)'!J16/어린이집수!K16)</f>
        <v>35.5547602004295</v>
      </c>
      <c r="K38" s="15" t="n">
        <f aca="false">IF(OR(어린이집수!L16=0,'현원(명)'!K16=0),"",'현원(명)'!K16/어린이집수!L16)</f>
        <v>36.2562111801242</v>
      </c>
      <c r="L38" s="15" t="n">
        <f aca="false">IF(OR(어린이집수!M16=0,'현원(명)'!L16=0),"",'현원(명)'!L16/어린이집수!M16)</f>
        <v>35.1138075313808</v>
      </c>
      <c r="M38" s="15" t="n">
        <f aca="false">IF(OR(어린이집수!N16=0,'현원(명)'!M16=0),"",'현원(명)'!M16/어린이집수!N16)</f>
        <v>34.9578475336323</v>
      </c>
      <c r="N38" s="15" t="n">
        <f aca="false">IF(OR(어린이집수!O16=0,'현원(명)'!N16=0),"",'현원(명)'!N16/어린이집수!O16)</f>
        <v>33.9736328125</v>
      </c>
    </row>
    <row r="39" customFormat="false" ht="15" hidden="false" customHeight="false" outlineLevel="0" collapsed="false">
      <c r="A39" s="8" t="s">
        <v>15</v>
      </c>
      <c r="B39" s="15" t="n">
        <f aca="false">IF(OR(어린이집수!C17=0,'현원(명)'!B17=0),"",'현원(명)'!B17/어린이집수!C17)</f>
        <v>34.7322322322322</v>
      </c>
      <c r="C39" s="15" t="n">
        <f aca="false">IF(OR(어린이집수!D17=0,'현원(명)'!C17=0),"",'현원(명)'!C17/어린이집수!D17)</f>
        <v>33.4232192414431</v>
      </c>
      <c r="D39" s="15" t="n">
        <f aca="false">IF(OR(어린이집수!E17=0,'현원(명)'!D17=0),"",'현원(명)'!D17/어린이집수!E17)</f>
        <v>34.0150176678445</v>
      </c>
      <c r="E39" s="15" t="n">
        <f aca="false">IF(OR(어린이집수!F17=0,'현원(명)'!E17=0),"",'현원(명)'!E17/어린이집수!F17)</f>
        <v>32.4791025076991</v>
      </c>
      <c r="F39" s="15" t="n">
        <f aca="false">IF(OR(어린이집수!G17=0,'현원(명)'!F17=0),"",'현원(명)'!F17/어린이집수!G17)</f>
        <v>33.124321880651</v>
      </c>
      <c r="G39" s="15" t="n">
        <f aca="false">IF(OR(어린이집수!H17=0,'현원(명)'!G17=0),"",'현원(명)'!G17/어린이집수!H17)</f>
        <v>33.2676056338028</v>
      </c>
      <c r="H39" s="15" t="n">
        <f aca="false">IF(OR(어린이집수!I17=0,'현원(명)'!H17=0),"",'현원(명)'!H17/어린이집수!I17)</f>
        <v>33.7821122740247</v>
      </c>
      <c r="I39" s="15" t="n">
        <f aca="false">IF(OR(어린이집수!J17=0,'현원(명)'!I17=0),"",'현원(명)'!I17/어린이집수!J17)</f>
        <v>34.3679108095007</v>
      </c>
      <c r="J39" s="15" t="n">
        <f aca="false">IF(OR(어린이집수!K17=0,'현원(명)'!J17=0),"",'현원(명)'!J17/어린이집수!K17)</f>
        <v>34.3694331983806</v>
      </c>
      <c r="K39" s="15" t="n">
        <f aca="false">IF(OR(어린이집수!L17=0,'현원(명)'!K17=0),"",'현원(명)'!K17/어린이집수!L17)</f>
        <v>34.7722342733189</v>
      </c>
      <c r="L39" s="15" t="n">
        <f aca="false">IF(OR(어린이집수!M17=0,'현원(명)'!L17=0),"",'현원(명)'!L17/어린이집수!M17)</f>
        <v>33.7588405797101</v>
      </c>
      <c r="M39" s="15" t="n">
        <f aca="false">IF(OR(어린이집수!N17=0,'현원(명)'!M17=0),"",'현원(명)'!M17/어린이집수!N17)</f>
        <v>33.9851576994434</v>
      </c>
      <c r="N39" s="15" t="n">
        <f aca="false">IF(OR(어린이집수!O17=0,'현원(명)'!N17=0),"",'현원(명)'!N17/어린이집수!O17)</f>
        <v>33.4846206425154</v>
      </c>
    </row>
    <row r="40" customFormat="false" ht="15" hidden="false" customHeight="false" outlineLevel="0" collapsed="false">
      <c r="A40" s="8" t="s">
        <v>16</v>
      </c>
      <c r="B40" s="15" t="n">
        <f aca="false">IF(OR(어린이집수!C18=0,'현원(명)'!B18=0),"",'현원(명)'!B18/어린이집수!C18)</f>
        <v>28.7752009894867</v>
      </c>
      <c r="C40" s="15" t="n">
        <f aca="false">IF(OR(어린이집수!D18=0,'현원(명)'!C18=0),"",'현원(명)'!C18/어린이집수!D18)</f>
        <v>29.1556340100029</v>
      </c>
      <c r="D40" s="15" t="n">
        <f aca="false">IF(OR(어린이집수!E18=0,'현원(명)'!D18=0),"",'현원(명)'!D18/어린이집수!E18)</f>
        <v>30.5814149354295</v>
      </c>
      <c r="E40" s="15" t="n">
        <f aca="false">IF(OR(어린이집수!F18=0,'현원(명)'!E18=0),"",'현원(명)'!E18/어린이집수!F18)</f>
        <v>29.4387755102041</v>
      </c>
      <c r="F40" s="15" t="n">
        <f aca="false">IF(OR(어린이집수!G18=0,'현원(명)'!F18=0),"",'현원(명)'!F18/어린이집수!G18)</f>
        <v>30.6031701103878</v>
      </c>
      <c r="G40" s="15" t="n">
        <f aca="false">IF(OR(어린이집수!H18=0,'현원(명)'!G18=0),"",'현원(명)'!G18/어린이집수!H18)</f>
        <v>31.4335622573903</v>
      </c>
      <c r="H40" s="15" t="n">
        <f aca="false">IF(OR(어린이집수!I18=0,'현원(명)'!H18=0),"",'현원(명)'!H18/어린이집수!I18)</f>
        <v>32.8758708043065</v>
      </c>
      <c r="I40" s="15" t="n">
        <f aca="false">IF(OR(어린이집수!J18=0,'현원(명)'!I18=0),"",'현원(명)'!I18/어린이집수!J18)</f>
        <v>33.6306744487678</v>
      </c>
      <c r="J40" s="15" t="n">
        <f aca="false">IF(OR(어린이집수!K18=0,'현원(명)'!J18=0),"",'현원(명)'!J18/어린이집수!K18)</f>
        <v>33.452380952381</v>
      </c>
      <c r="K40" s="15" t="n">
        <f aca="false">IF(OR(어린이집수!L18=0,'현원(명)'!K18=0),"",'현원(명)'!K18/어린이집수!L18)</f>
        <v>33.7616132517105</v>
      </c>
      <c r="L40" s="15" t="n">
        <f aca="false">IF(OR(어린이집수!M18=0,'현원(명)'!L18=0),"",'현원(명)'!L18/어린이집수!M18)</f>
        <v>33.1513364779874</v>
      </c>
      <c r="M40" s="15" t="n">
        <f aca="false">IF(OR(어린이집수!N18=0,'현원(명)'!M18=0),"",'현원(명)'!M18/어린이집수!N18)</f>
        <v>33.0946117946542</v>
      </c>
      <c r="N40" s="15" t="n">
        <f aca="false">IF(OR(어린이집수!O18=0,'현원(명)'!N18=0),"",'현원(명)'!N18/어린이집수!O18)</f>
        <v>32.4262835609986</v>
      </c>
    </row>
    <row r="41" customFormat="false" ht="15" hidden="false" customHeight="false" outlineLevel="0" collapsed="false">
      <c r="A41" s="8" t="s">
        <v>17</v>
      </c>
      <c r="B41" s="15" t="n">
        <f aca="false">IF(OR(어린이집수!C19=0,'현원(명)'!B19=0),"",'현원(명)'!B19/어린이집수!C19)</f>
        <v>47.2552380952381</v>
      </c>
      <c r="C41" s="15" t="n">
        <f aca="false">IF(OR(어린이집수!D19=0,'현원(명)'!C19=0),"",'현원(명)'!C19/어린이집수!D19)</f>
        <v>46.2192028985507</v>
      </c>
      <c r="D41" s="15" t="n">
        <f aca="false">IF(OR(어린이집수!E19=0,'현원(명)'!D19=0),"",'현원(명)'!D19/어린이집수!E19)</f>
        <v>46.0513698630137</v>
      </c>
      <c r="E41" s="15" t="n">
        <f aca="false">IF(OR(어린이집수!F19=0,'현원(명)'!E19=0),"",'현원(명)'!E19/어린이집수!F19)</f>
        <v>45.1258278145695</v>
      </c>
      <c r="F41" s="15" t="n">
        <f aca="false">IF(OR(어린이집수!G19=0,'현원(명)'!F19=0),"",'현원(명)'!F19/어린이집수!G19)</f>
        <v>45.7462437395659</v>
      </c>
      <c r="G41" s="15" t="n">
        <f aca="false">IF(OR(어린이집수!H19=0,'현원(명)'!G19=0),"",'현원(명)'!G19/어린이집수!H19)</f>
        <v>47.2282229965157</v>
      </c>
      <c r="H41" s="15" t="n">
        <f aca="false">IF(OR(어린이집수!I19=0,'현원(명)'!H19=0),"",'현원(명)'!H19/어린이집수!I19)</f>
        <v>50.1491712707182</v>
      </c>
      <c r="I41" s="15" t="n">
        <f aca="false">IF(OR(어린이집수!J19=0,'현원(명)'!I19=0),"",'현원(명)'!I19/어린이집수!J19)</f>
        <v>51.595825426945</v>
      </c>
      <c r="J41" s="15" t="n">
        <f aca="false">IF(OR(어린이집수!K19=0,'현원(명)'!J19=0),"",'현원(명)'!J19/어린이집수!K19)</f>
        <v>51.5750487329435</v>
      </c>
      <c r="K41" s="15" t="n">
        <f aca="false">IF(OR(어린이집수!L19=0,'현원(명)'!K19=0),"",'현원(명)'!K19/어린이집수!L19)</f>
        <v>49.9940476190476</v>
      </c>
      <c r="L41" s="15" t="n">
        <f aca="false">IF(OR(어린이집수!M19=0,'현원(명)'!L19=0),"",'현원(명)'!L19/어린이집수!M19)</f>
        <v>48.7218813905931</v>
      </c>
      <c r="M41" s="15" t="n">
        <f aca="false">IF(OR(어린이집수!N19=0,'현원(명)'!M19=0),"",'현원(명)'!M19/어린이집수!N19)</f>
        <v>47.1659663865546</v>
      </c>
      <c r="N41" s="15" t="n">
        <f aca="false">IF(OR(어린이집수!O19=0,'현원(명)'!N19=0),"",'현원(명)'!N19/어린이집수!O19)</f>
        <v>46.4966740576497</v>
      </c>
    </row>
    <row r="42" customFormat="false" ht="17.15" hidden="false" customHeight="false" outlineLevel="0" collapsed="false">
      <c r="A42" s="8" t="s">
        <v>29</v>
      </c>
      <c r="B42" s="15" t="n">
        <f aca="false">IF(OR(어린이집수!C20=0,'현원(명)'!B20=0),"",'현원(명)'!B20/어린이집수!C20)</f>
        <v>43.7395788568973</v>
      </c>
      <c r="C42" s="15" t="n">
        <f aca="false">IF(OR(어린이집수!D20=0,'현원(명)'!C20=0),"",'현원(명)'!C20/어린이집수!D20)</f>
        <v>43.9437869822485</v>
      </c>
      <c r="D42" s="15" t="n">
        <f aca="false">IF(OR(어린이집수!E20=0,'현원(명)'!D20=0),"",'현원(명)'!D20/어린이집수!E20)</f>
        <v>45.2653481664607</v>
      </c>
      <c r="E42" s="15" t="n">
        <f aca="false">IF(OR(어린이집수!F20=0,'현원(명)'!E20=0),"",'현원(명)'!E20/어린이집수!F20)</f>
        <v>43.5131419328751</v>
      </c>
      <c r="F42" s="15" t="n">
        <f aca="false">IF(OR(어린이집수!G20=0,'현원(명)'!F20=0),"",'현원(명)'!F20/어린이집수!G20)</f>
        <v>42.6766586730616</v>
      </c>
      <c r="G42" s="15" t="n">
        <f aca="false">IF(OR(어린이집수!H20=0,'현원(명)'!G20=0),"",'현원(명)'!G20/어린이집수!H20)</f>
        <v>41.2374100719425</v>
      </c>
      <c r="H42" s="15" t="n">
        <f aca="false">IF(OR(어린이집수!I20=0,'현원(명)'!H20=0),"",'현원(명)'!H20/어린이집수!I20)</f>
        <v>40.946163117718</v>
      </c>
      <c r="I42" s="15" t="n">
        <f aca="false">IF(OR(어린이집수!J20=0,'현원(명)'!I20=0),"",'현원(명)'!I20/어린이집수!J20)</f>
        <v>40.4764207980653</v>
      </c>
      <c r="J42" s="15" t="n">
        <f aca="false">IF(OR(어린이집수!K20=0,'현원(명)'!J20=0),"",'현원(명)'!J20/어린이집수!K20)</f>
        <v>39.7229166666667</v>
      </c>
      <c r="K42" s="15" t="n">
        <f aca="false">IF(OR(어린이집수!L20=0,'현원(명)'!K20=0),"",'현원(명)'!K20/어린이집수!L20)</f>
        <v>39.3680035257823</v>
      </c>
      <c r="L42" s="15" t="n">
        <f aca="false">IF(OR(어린이집수!M20=0,'현원(명)'!L20=0),"",'현원(명)'!L20/어린이집수!M20)</f>
        <v>37.5185528756957</v>
      </c>
      <c r="M42" s="15" t="n">
        <f aca="false">IF(OR(어린이집수!N20=0,'현원(명)'!M20=0),"",'현원(명)'!M20/어린이집수!N20)</f>
        <v>37.4096444227959</v>
      </c>
      <c r="N42" s="15" t="n">
        <f aca="false">IF(OR(어린이집수!O20=0,'현원(명)'!N20=0),"",'현원(명)'!N20/어린이집수!O20)</f>
        <v>36.440948942754</v>
      </c>
    </row>
    <row r="43" customFormat="false" ht="15" hidden="false" customHeight="false" outlineLevel="0" collapsed="false">
      <c r="A43" s="6" t="s">
        <v>30</v>
      </c>
      <c r="B43" s="16" t="n">
        <f aca="false">IF(OR(어린이집수!C21=0,'현원(명)'!B21=0),"",'현원(명)'!B21/어린이집수!C21)</f>
        <v>33.6632387364877</v>
      </c>
      <c r="C43" s="16" t="n">
        <f aca="false">IF(OR(어린이집수!D21=0,'현원(명)'!C21=0),"",'현원(명)'!C21/어린이집수!D21)</f>
        <v>33.8519401636464</v>
      </c>
      <c r="D43" s="16" t="n">
        <f aca="false">IF(OR(어린이집수!E21=0,'현원(명)'!D21=0),"",'현원(명)'!D21/어린이집수!E21)</f>
        <v>34.9745103110965</v>
      </c>
      <c r="E43" s="16" t="n">
        <f aca="false">IF(OR(어린이집수!F21=0,'현원(명)'!E21=0),"",'현원(명)'!E21/어린이집수!F21)</f>
        <v>33.9725839616175</v>
      </c>
      <c r="F43" s="16" t="n">
        <f aca="false">IF(OR(어린이집수!G21=0,'현원(명)'!F21=0),"",'현원(명)'!F21/어린이집수!G21)</f>
        <v>34.215879475104</v>
      </c>
      <c r="G43" s="16" t="n">
        <f aca="false">IF(OR(어린이집수!H21=0,'현원(명)'!G21=0),"",'현원(명)'!G21/어린이집수!H21)</f>
        <v>34.1701672272268</v>
      </c>
      <c r="H43" s="16" t="n">
        <f aca="false">IF(OR(어린이집수!I21=0,'현원(명)'!H21=0),"",'현원(명)'!H21/어린이집수!I21)</f>
        <v>35.3231184889495</v>
      </c>
      <c r="I43" s="16" t="n">
        <f aca="false">IF(OR(어린이집수!J21=0,'현원(명)'!I21=0),"",'현원(명)'!I21/어린이집수!J21)</f>
        <v>36.0416273174611</v>
      </c>
      <c r="J43" s="16" t="n">
        <f aca="false">IF(OR(어린이집수!K21=0,'현원(명)'!J21=0),"",'현원(명)'!J21/어린이집수!K21)</f>
        <v>36.1426054989661</v>
      </c>
      <c r="K43" s="16" t="n">
        <f aca="false">IF(OR(어린이집수!L21=0,'현원(명)'!K21=0),"",'현원(명)'!K21/어린이집수!L21)</f>
        <v>36.5279227208263</v>
      </c>
      <c r="L43" s="16" t="n">
        <f aca="false">IF(OR(어린이집수!M21=0,'현원(명)'!L21=0),"",'현원(명)'!L21/어린이집수!M21)</f>
        <v>35.2001584068794</v>
      </c>
      <c r="M43" s="16" t="n">
        <f aca="false">IF(OR(어린이집수!N21=0,'현원(명)'!M21=0),"",'현원(명)'!M21/어린이집수!N21)</f>
        <v>35.6348432894183</v>
      </c>
      <c r="N43" s="16" t="n">
        <f aca="false">IF(OR(어린이집수!O21=0,'현원(명)'!N21=0),"",'현원(명)'!N21/어린이집수!O21)</f>
        <v>35.4250881221098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6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1" min="2" style="0" width="10"/>
  </cols>
  <sheetData>
    <row r="1" customFormat="false" ht="20.1" hidden="false" customHeight="false" outlineLevel="0" collapsed="false">
      <c r="A1" s="17" t="s">
        <v>35</v>
      </c>
    </row>
    <row r="3" customFormat="false" ht="17.15" hidden="false" customHeight="false" outlineLevel="0" collapsed="false">
      <c r="A3" s="12" t="s">
        <v>36</v>
      </c>
    </row>
    <row r="4" customFormat="false" ht="15" hidden="false" customHeight="false" outlineLevel="0" collapsed="false">
      <c r="A4" s="3" t="s">
        <v>2</v>
      </c>
      <c r="B4" s="3" t="n">
        <v>2009</v>
      </c>
      <c r="C4" s="3" t="n">
        <v>2010</v>
      </c>
      <c r="D4" s="3" t="n">
        <v>2011</v>
      </c>
      <c r="E4" s="3" t="n">
        <v>2012</v>
      </c>
      <c r="F4" s="3" t="n">
        <v>2013</v>
      </c>
      <c r="G4" s="3" t="n">
        <v>2014</v>
      </c>
      <c r="H4" s="3" t="n">
        <v>2015</v>
      </c>
      <c r="I4" s="3" t="n">
        <v>2016</v>
      </c>
      <c r="J4" s="3" t="n">
        <v>2017</v>
      </c>
      <c r="K4" s="3" t="n">
        <v>2018</v>
      </c>
      <c r="L4" s="3" t="n">
        <v>2019</v>
      </c>
      <c r="M4" s="3" t="n">
        <v>2020</v>
      </c>
      <c r="N4" s="3" t="n">
        <v>2021</v>
      </c>
      <c r="O4" s="3" t="n">
        <v>2022</v>
      </c>
      <c r="P4" s="3" t="n">
        <v>2023</v>
      </c>
      <c r="Q4" s="3" t="n">
        <v>2024</v>
      </c>
      <c r="R4" s="3" t="n">
        <v>2025</v>
      </c>
      <c r="S4" s="3" t="n">
        <v>2026</v>
      </c>
    </row>
    <row r="5" customFormat="false" ht="15" hidden="false" customHeight="false" outlineLevel="0" collapsed="false">
      <c r="A5" s="8" t="s">
        <v>3</v>
      </c>
      <c r="B5" s="18" t="n">
        <v>5684</v>
      </c>
      <c r="C5" s="18" t="n">
        <v>5870</v>
      </c>
      <c r="D5" s="18" t="n">
        <v>6105</v>
      </c>
      <c r="E5" s="18" t="n">
        <v>6538</v>
      </c>
      <c r="F5" s="18" t="n">
        <v>6742</v>
      </c>
      <c r="G5" s="18" t="n">
        <v>6787</v>
      </c>
      <c r="H5" s="18" t="n">
        <v>6598</v>
      </c>
      <c r="I5" s="18" t="n">
        <v>6368</v>
      </c>
      <c r="J5" s="18" t="n">
        <v>6226</v>
      </c>
      <c r="K5" s="18" t="n">
        <v>6008</v>
      </c>
      <c r="L5" s="18" t="n">
        <v>5698</v>
      </c>
      <c r="M5" s="18" t="n">
        <v>5370</v>
      </c>
      <c r="N5" s="18" t="n">
        <v>5049</v>
      </c>
      <c r="O5" s="18" t="n">
        <v>4712</v>
      </c>
      <c r="P5" s="18" t="n">
        <v>4431</v>
      </c>
      <c r="Q5" s="18" t="n">
        <v>4212</v>
      </c>
      <c r="R5" s="18" t="n">
        <v>4010</v>
      </c>
      <c r="S5" s="18" t="n">
        <v>3875</v>
      </c>
    </row>
    <row r="6" customFormat="false" ht="15" hidden="false" customHeight="false" outlineLevel="0" collapsed="false">
      <c r="A6" s="8" t="s">
        <v>4</v>
      </c>
      <c r="B6" s="18" t="n">
        <v>1655</v>
      </c>
      <c r="C6" s="18" t="n">
        <v>1689</v>
      </c>
      <c r="D6" s="18" t="n">
        <v>1740</v>
      </c>
      <c r="E6" s="18" t="n">
        <v>1830</v>
      </c>
      <c r="F6" s="18" t="n">
        <v>1897</v>
      </c>
      <c r="G6" s="18" t="n">
        <v>1957</v>
      </c>
      <c r="H6" s="18" t="n">
        <v>1971</v>
      </c>
      <c r="I6" s="18" t="n">
        <v>1937</v>
      </c>
      <c r="J6" s="18" t="n">
        <v>1920</v>
      </c>
      <c r="K6" s="18" t="n">
        <v>1891</v>
      </c>
      <c r="L6" s="18" t="n">
        <v>1848</v>
      </c>
      <c r="M6" s="18" t="n">
        <v>1778</v>
      </c>
      <c r="N6" s="18" t="n">
        <v>1668</v>
      </c>
      <c r="O6" s="18" t="n">
        <v>1547</v>
      </c>
      <c r="P6" s="18" t="n">
        <v>1447</v>
      </c>
      <c r="Q6" s="18" t="n">
        <v>1354</v>
      </c>
      <c r="R6" s="18" t="n">
        <v>1278</v>
      </c>
      <c r="S6" s="18" t="n">
        <v>1216</v>
      </c>
    </row>
    <row r="7" customFormat="false" ht="15" hidden="false" customHeight="false" outlineLevel="0" collapsed="false">
      <c r="A7" s="8" t="s">
        <v>5</v>
      </c>
      <c r="B7" s="18" t="n">
        <v>1500</v>
      </c>
      <c r="C7" s="18" t="n">
        <v>1544</v>
      </c>
      <c r="D7" s="18" t="n">
        <v>1561</v>
      </c>
      <c r="E7" s="18" t="n">
        <v>1580</v>
      </c>
      <c r="F7" s="18" t="n">
        <v>1590</v>
      </c>
      <c r="G7" s="18" t="n">
        <v>1588</v>
      </c>
      <c r="H7" s="18" t="n">
        <v>1539</v>
      </c>
      <c r="I7" s="18" t="n">
        <v>1483</v>
      </c>
      <c r="J7" s="18" t="n">
        <v>1464</v>
      </c>
      <c r="K7" s="18" t="n">
        <v>1405</v>
      </c>
      <c r="L7" s="18" t="n">
        <v>1322</v>
      </c>
      <c r="M7" s="18" t="n">
        <v>1268</v>
      </c>
      <c r="N7" s="18" t="n">
        <v>1187</v>
      </c>
      <c r="O7" s="18" t="n">
        <v>1139</v>
      </c>
      <c r="P7" s="18" t="n">
        <v>1079</v>
      </c>
      <c r="Q7" s="18" t="n">
        <v>1035</v>
      </c>
      <c r="R7" s="18" t="n">
        <v>992</v>
      </c>
      <c r="S7" s="18" t="n">
        <v>964</v>
      </c>
    </row>
    <row r="8" customFormat="false" ht="15" hidden="false" customHeight="false" outlineLevel="0" collapsed="false">
      <c r="A8" s="8" t="s">
        <v>6</v>
      </c>
      <c r="B8" s="18" t="n">
        <v>1773</v>
      </c>
      <c r="C8" s="18" t="n">
        <v>1857</v>
      </c>
      <c r="D8" s="18" t="n">
        <v>1998</v>
      </c>
      <c r="E8" s="18" t="n">
        <v>2181</v>
      </c>
      <c r="F8" s="18" t="n">
        <v>2263</v>
      </c>
      <c r="G8" s="18" t="n">
        <v>2308</v>
      </c>
      <c r="H8" s="18" t="n">
        <v>2278</v>
      </c>
      <c r="I8" s="18" t="n">
        <v>2231</v>
      </c>
      <c r="J8" s="18" t="n">
        <v>2186</v>
      </c>
      <c r="K8" s="18" t="n">
        <v>2141</v>
      </c>
      <c r="L8" s="18" t="n">
        <v>2049</v>
      </c>
      <c r="M8" s="18" t="n">
        <v>1943</v>
      </c>
      <c r="N8" s="18" t="n">
        <v>1803</v>
      </c>
      <c r="O8" s="18" t="n">
        <v>1697</v>
      </c>
      <c r="P8" s="18" t="n">
        <v>1652</v>
      </c>
      <c r="Q8" s="18" t="n">
        <v>1613</v>
      </c>
      <c r="R8" s="18" t="n">
        <v>1556</v>
      </c>
      <c r="S8" s="18" t="n">
        <v>1529</v>
      </c>
    </row>
    <row r="9" customFormat="false" ht="15" hidden="false" customHeight="false" outlineLevel="0" collapsed="false">
      <c r="A9" s="8" t="s">
        <v>7</v>
      </c>
      <c r="B9" s="18" t="n">
        <v>1417</v>
      </c>
      <c r="C9" s="18" t="n">
        <v>1535</v>
      </c>
      <c r="D9" s="18" t="n">
        <v>1599</v>
      </c>
      <c r="E9" s="18" t="n">
        <v>1659</v>
      </c>
      <c r="F9" s="18" t="n">
        <v>1680</v>
      </c>
      <c r="G9" s="18" t="n">
        <v>1698</v>
      </c>
      <c r="H9" s="18" t="n">
        <v>1669</v>
      </c>
      <c r="I9" s="18" t="n">
        <v>1584</v>
      </c>
      <c r="J9" s="18" t="n">
        <v>1505</v>
      </c>
      <c r="K9" s="18" t="n">
        <v>1406</v>
      </c>
      <c r="L9" s="18" t="n">
        <v>1288</v>
      </c>
      <c r="M9" s="18" t="n">
        <v>1185</v>
      </c>
      <c r="N9" s="18" t="n">
        <v>1101</v>
      </c>
      <c r="O9" s="18" t="n">
        <v>1013</v>
      </c>
      <c r="P9" s="18" t="n">
        <v>916</v>
      </c>
      <c r="Q9" s="18" t="n">
        <v>864</v>
      </c>
      <c r="R9" s="18" t="n">
        <v>826</v>
      </c>
      <c r="S9" s="18" t="n">
        <v>791</v>
      </c>
    </row>
    <row r="10" customFormat="false" ht="15" hidden="false" customHeight="false" outlineLevel="0" collapsed="false">
      <c r="A10" s="8" t="s">
        <v>8</v>
      </c>
      <c r="B10" s="18" t="n">
        <v>660</v>
      </c>
      <c r="C10" s="18" t="n">
        <v>754</v>
      </c>
      <c r="D10" s="18" t="n">
        <v>818</v>
      </c>
      <c r="E10" s="18" t="n">
        <v>893</v>
      </c>
      <c r="F10" s="18" t="n">
        <v>933</v>
      </c>
      <c r="G10" s="18" t="n">
        <v>946</v>
      </c>
      <c r="H10" s="18" t="n">
        <v>934</v>
      </c>
      <c r="I10" s="18" t="n">
        <v>895</v>
      </c>
      <c r="J10" s="18" t="n">
        <v>881</v>
      </c>
      <c r="K10" s="18" t="n">
        <v>868</v>
      </c>
      <c r="L10" s="18" t="n">
        <v>842</v>
      </c>
      <c r="M10" s="18" t="n">
        <v>790</v>
      </c>
      <c r="N10" s="18" t="n">
        <v>720</v>
      </c>
      <c r="O10" s="18" t="n">
        <v>656</v>
      </c>
      <c r="P10" s="18" t="n">
        <v>612</v>
      </c>
      <c r="Q10" s="18" t="n">
        <v>569</v>
      </c>
      <c r="R10" s="18" t="n">
        <v>535</v>
      </c>
      <c r="S10" s="18" t="n">
        <v>512</v>
      </c>
    </row>
    <row r="11" customFormat="false" ht="15" hidden="false" customHeight="false" outlineLevel="0" collapsed="false">
      <c r="A11" s="8" t="s">
        <v>9</v>
      </c>
      <c r="B11" s="18" t="n">
        <v>0</v>
      </c>
      <c r="C11" s="18" t="n">
        <v>0</v>
      </c>
      <c r="D11" s="18" t="n">
        <v>0</v>
      </c>
      <c r="E11" s="18" t="n">
        <v>106</v>
      </c>
      <c r="F11" s="18" t="n">
        <v>118</v>
      </c>
      <c r="G11" s="18" t="n">
        <v>160</v>
      </c>
      <c r="H11" s="18" t="n">
        <v>216</v>
      </c>
      <c r="I11" s="18" t="n">
        <v>250</v>
      </c>
      <c r="J11" s="18" t="n">
        <v>289</v>
      </c>
      <c r="K11" s="18" t="n">
        <v>343</v>
      </c>
      <c r="L11" s="18" t="n">
        <v>359</v>
      </c>
      <c r="M11" s="18" t="n">
        <v>350</v>
      </c>
      <c r="N11" s="18" t="n">
        <v>343</v>
      </c>
      <c r="O11" s="18" t="n">
        <v>327</v>
      </c>
      <c r="P11" s="18" t="n">
        <v>314</v>
      </c>
      <c r="Q11" s="18" t="n">
        <v>305</v>
      </c>
      <c r="R11" s="18" t="n">
        <v>286</v>
      </c>
      <c r="S11" s="18" t="n">
        <v>269</v>
      </c>
    </row>
    <row r="12" customFormat="false" ht="15" hidden="false" customHeight="false" outlineLevel="0" collapsed="false">
      <c r="A12" s="8" t="s">
        <v>10</v>
      </c>
      <c r="B12" s="18" t="n">
        <v>10465</v>
      </c>
      <c r="C12" s="18" t="n">
        <v>11273</v>
      </c>
      <c r="D12" s="18" t="n">
        <v>11825</v>
      </c>
      <c r="E12" s="18" t="n">
        <v>12869</v>
      </c>
      <c r="F12" s="18" t="n">
        <v>13364</v>
      </c>
      <c r="G12" s="18" t="n">
        <v>13259</v>
      </c>
      <c r="H12" s="18" t="n">
        <v>12689</v>
      </c>
      <c r="I12" s="18" t="n">
        <v>12120</v>
      </c>
      <c r="J12" s="18" t="n">
        <v>11825</v>
      </c>
      <c r="K12" s="18" t="n">
        <v>11682</v>
      </c>
      <c r="L12" s="18" t="n">
        <v>11305</v>
      </c>
      <c r="M12" s="18" t="n">
        <v>10761</v>
      </c>
      <c r="N12" s="18" t="n">
        <v>10136</v>
      </c>
      <c r="O12" s="18" t="n">
        <v>9438</v>
      </c>
      <c r="P12" s="18" t="n">
        <v>8903</v>
      </c>
      <c r="Q12" s="18" t="n">
        <v>8407</v>
      </c>
      <c r="R12" s="18" t="n">
        <v>8030</v>
      </c>
      <c r="S12" s="18" t="n">
        <v>7774</v>
      </c>
    </row>
    <row r="13" customFormat="false" ht="15" hidden="false" customHeight="false" outlineLevel="0" collapsed="false">
      <c r="A13" s="8" t="s">
        <v>11</v>
      </c>
      <c r="B13" s="18" t="n">
        <v>926</v>
      </c>
      <c r="C13" s="18" t="n">
        <v>1085</v>
      </c>
      <c r="D13" s="18" t="n">
        <v>1147</v>
      </c>
      <c r="E13" s="18" t="n">
        <v>1244</v>
      </c>
      <c r="F13" s="18" t="n">
        <v>1265</v>
      </c>
      <c r="G13" s="18" t="n">
        <v>1257</v>
      </c>
      <c r="H13" s="18" t="n">
        <v>1227</v>
      </c>
      <c r="I13" s="18" t="n">
        <v>1180</v>
      </c>
      <c r="J13" s="18" t="n">
        <v>1149</v>
      </c>
      <c r="K13" s="18" t="n">
        <v>1086</v>
      </c>
      <c r="L13" s="18" t="n">
        <v>1036</v>
      </c>
      <c r="M13" s="18" t="n">
        <v>999</v>
      </c>
      <c r="N13" s="18" t="n">
        <v>954</v>
      </c>
      <c r="O13" s="18" t="n">
        <v>906</v>
      </c>
      <c r="P13" s="18" t="n">
        <v>847</v>
      </c>
      <c r="Q13" s="18" t="n">
        <v>816</v>
      </c>
      <c r="R13" s="18" t="n">
        <v>779</v>
      </c>
      <c r="S13" s="18" t="n">
        <v>748</v>
      </c>
    </row>
    <row r="14" customFormat="false" ht="15" hidden="false" customHeight="false" outlineLevel="0" collapsed="false">
      <c r="A14" s="8" t="s">
        <v>12</v>
      </c>
      <c r="B14" s="18" t="n">
        <v>1037</v>
      </c>
      <c r="C14" s="18" t="n">
        <v>1112</v>
      </c>
      <c r="D14" s="18" t="n">
        <v>1133</v>
      </c>
      <c r="E14" s="18" t="n">
        <v>1179</v>
      </c>
      <c r="F14" s="18" t="n">
        <v>1212</v>
      </c>
      <c r="G14" s="18" t="n">
        <v>1229</v>
      </c>
      <c r="H14" s="18" t="n">
        <v>1230</v>
      </c>
      <c r="I14" s="18" t="n">
        <v>1208</v>
      </c>
      <c r="J14" s="18" t="n">
        <v>1186</v>
      </c>
      <c r="K14" s="18" t="n">
        <v>1157</v>
      </c>
      <c r="L14" s="18" t="n">
        <v>1130</v>
      </c>
      <c r="M14" s="18" t="n">
        <v>1082</v>
      </c>
      <c r="N14" s="18" t="n">
        <v>1042</v>
      </c>
      <c r="O14" s="18" t="n">
        <v>972</v>
      </c>
      <c r="P14" s="18" t="n">
        <v>921</v>
      </c>
      <c r="Q14" s="18" t="n">
        <v>877</v>
      </c>
      <c r="R14" s="18" t="n">
        <v>837</v>
      </c>
      <c r="S14" s="18" t="n">
        <v>800</v>
      </c>
    </row>
    <row r="15" customFormat="false" ht="15" hidden="false" customHeight="false" outlineLevel="0" collapsed="false">
      <c r="A15" s="8" t="s">
        <v>13</v>
      </c>
      <c r="B15" s="18" t="n">
        <v>1470</v>
      </c>
      <c r="C15" s="18" t="n">
        <v>1687</v>
      </c>
      <c r="D15" s="18" t="n">
        <v>1857</v>
      </c>
      <c r="E15" s="18" t="n">
        <v>1991</v>
      </c>
      <c r="F15" s="18" t="n">
        <v>2083</v>
      </c>
      <c r="G15" s="18" t="n">
        <v>2053</v>
      </c>
      <c r="H15" s="18" t="n">
        <v>1988</v>
      </c>
      <c r="I15" s="18" t="n">
        <v>1974</v>
      </c>
      <c r="J15" s="18" t="n">
        <v>1955</v>
      </c>
      <c r="K15" s="18" t="n">
        <v>1916</v>
      </c>
      <c r="L15" s="18" t="n">
        <v>1812</v>
      </c>
      <c r="M15" s="18" t="n">
        <v>1717</v>
      </c>
      <c r="N15" s="18" t="n">
        <v>1625</v>
      </c>
      <c r="O15" s="18" t="n">
        <v>1516</v>
      </c>
      <c r="P15" s="18" t="n">
        <v>1421</v>
      </c>
      <c r="Q15" s="18" t="n">
        <v>1338</v>
      </c>
      <c r="R15" s="18" t="n">
        <v>1272</v>
      </c>
      <c r="S15" s="18" t="n">
        <v>1206</v>
      </c>
    </row>
    <row r="16" customFormat="false" ht="15" hidden="false" customHeight="false" outlineLevel="0" collapsed="false">
      <c r="A16" s="8" t="s">
        <v>14</v>
      </c>
      <c r="B16" s="18" t="n">
        <v>1506</v>
      </c>
      <c r="C16" s="18" t="n">
        <v>1531</v>
      </c>
      <c r="D16" s="18" t="n">
        <v>1580</v>
      </c>
      <c r="E16" s="18" t="n">
        <v>1620</v>
      </c>
      <c r="F16" s="18" t="n">
        <v>1647</v>
      </c>
      <c r="G16" s="18" t="n">
        <v>1654</v>
      </c>
      <c r="H16" s="18" t="n">
        <v>1623</v>
      </c>
      <c r="I16" s="18" t="n">
        <v>1562</v>
      </c>
      <c r="J16" s="18" t="n">
        <v>1497</v>
      </c>
      <c r="K16" s="18" t="n">
        <v>1397</v>
      </c>
      <c r="L16" s="18" t="n">
        <v>1288</v>
      </c>
      <c r="M16" s="18" t="n">
        <v>1195</v>
      </c>
      <c r="N16" s="18" t="n">
        <v>1115</v>
      </c>
      <c r="O16" s="18" t="n">
        <v>1024</v>
      </c>
      <c r="P16" s="18" t="n">
        <v>944</v>
      </c>
      <c r="Q16" s="18" t="n">
        <v>902</v>
      </c>
      <c r="R16" s="18" t="n">
        <v>856</v>
      </c>
      <c r="S16" s="18" t="n">
        <v>832</v>
      </c>
    </row>
    <row r="17" customFormat="false" ht="15" hidden="false" customHeight="false" outlineLevel="0" collapsed="false">
      <c r="A17" s="8" t="s">
        <v>15</v>
      </c>
      <c r="B17" s="18" t="n">
        <v>1827</v>
      </c>
      <c r="C17" s="18" t="n">
        <v>1998</v>
      </c>
      <c r="D17" s="18" t="n">
        <v>2162</v>
      </c>
      <c r="E17" s="18" t="n">
        <v>2264</v>
      </c>
      <c r="F17" s="18" t="n">
        <v>2273</v>
      </c>
      <c r="G17" s="18" t="n">
        <v>2212</v>
      </c>
      <c r="H17" s="18" t="n">
        <v>2130</v>
      </c>
      <c r="I17" s="18" t="n">
        <v>2102</v>
      </c>
      <c r="J17" s="18" t="n">
        <v>2063</v>
      </c>
      <c r="K17" s="18" t="n">
        <v>1976</v>
      </c>
      <c r="L17" s="18" t="n">
        <v>1844</v>
      </c>
      <c r="M17" s="18" t="n">
        <v>1725</v>
      </c>
      <c r="N17" s="18" t="n">
        <v>1617</v>
      </c>
      <c r="O17" s="18" t="n">
        <v>1463</v>
      </c>
      <c r="P17" s="18" t="n">
        <v>1310</v>
      </c>
      <c r="Q17" s="18" t="n">
        <v>1234</v>
      </c>
      <c r="R17" s="18" t="n">
        <v>1162</v>
      </c>
      <c r="S17" s="18" t="n">
        <v>1094</v>
      </c>
    </row>
    <row r="18" customFormat="false" ht="15" hidden="false" customHeight="false" outlineLevel="0" collapsed="false">
      <c r="A18" s="8" t="s">
        <v>16</v>
      </c>
      <c r="B18" s="18" t="n">
        <v>2861</v>
      </c>
      <c r="C18" s="18" t="n">
        <v>3234</v>
      </c>
      <c r="D18" s="18" t="n">
        <v>3399</v>
      </c>
      <c r="E18" s="18" t="n">
        <v>3562</v>
      </c>
      <c r="F18" s="18" t="n">
        <v>3626</v>
      </c>
      <c r="G18" s="18" t="n">
        <v>3533</v>
      </c>
      <c r="H18" s="18" t="n">
        <v>3349</v>
      </c>
      <c r="I18" s="18" t="n">
        <v>3158</v>
      </c>
      <c r="J18" s="18" t="n">
        <v>3084</v>
      </c>
      <c r="K18" s="18" t="n">
        <v>2982</v>
      </c>
      <c r="L18" s="18" t="n">
        <v>2777</v>
      </c>
      <c r="M18" s="18" t="n">
        <v>2544</v>
      </c>
      <c r="N18" s="18" t="n">
        <v>2357</v>
      </c>
      <c r="O18" s="18" t="n">
        <v>2123</v>
      </c>
      <c r="P18" s="18" t="n">
        <v>1904</v>
      </c>
      <c r="Q18" s="18" t="n">
        <v>1723</v>
      </c>
      <c r="R18" s="18" t="n">
        <v>1613</v>
      </c>
      <c r="S18" s="18" t="n">
        <v>1499</v>
      </c>
    </row>
    <row r="19" customFormat="false" ht="15" hidden="false" customHeight="false" outlineLevel="0" collapsed="false">
      <c r="A19" s="8" t="s">
        <v>17</v>
      </c>
      <c r="B19" s="18" t="n">
        <v>502</v>
      </c>
      <c r="C19" s="18" t="n">
        <v>525</v>
      </c>
      <c r="D19" s="18" t="n">
        <v>552</v>
      </c>
      <c r="E19" s="18" t="n">
        <v>584</v>
      </c>
      <c r="F19" s="18" t="n">
        <v>604</v>
      </c>
      <c r="G19" s="18" t="n">
        <v>599</v>
      </c>
      <c r="H19" s="18" t="n">
        <v>574</v>
      </c>
      <c r="I19" s="18" t="n">
        <v>543</v>
      </c>
      <c r="J19" s="18" t="n">
        <v>527</v>
      </c>
      <c r="K19" s="18" t="n">
        <v>513</v>
      </c>
      <c r="L19" s="18" t="n">
        <v>504</v>
      </c>
      <c r="M19" s="18" t="n">
        <v>489</v>
      </c>
      <c r="N19" s="18" t="n">
        <v>476</v>
      </c>
      <c r="O19" s="18" t="n">
        <v>451</v>
      </c>
      <c r="P19" s="18" t="n">
        <v>423</v>
      </c>
      <c r="Q19" s="18" t="n">
        <v>399</v>
      </c>
      <c r="R19" s="18" t="n">
        <v>378</v>
      </c>
      <c r="S19" s="18" t="n">
        <v>365</v>
      </c>
    </row>
    <row r="20" customFormat="false" ht="15" hidden="false" customHeight="false" outlineLevel="0" collapsed="false">
      <c r="A20" s="8" t="s">
        <v>37</v>
      </c>
      <c r="B20" s="18" t="n">
        <v>1153</v>
      </c>
      <c r="C20" s="18" t="n">
        <v>1192</v>
      </c>
      <c r="D20" s="18" t="n">
        <v>1205</v>
      </c>
      <c r="E20" s="18" t="n">
        <v>1239</v>
      </c>
      <c r="F20" s="18" t="n">
        <v>1251</v>
      </c>
      <c r="G20" s="18" t="n">
        <v>1260</v>
      </c>
      <c r="H20" s="18" t="n">
        <v>1264</v>
      </c>
      <c r="I20" s="18" t="n">
        <v>1238</v>
      </c>
      <c r="J20" s="18" t="n">
        <v>1240</v>
      </c>
      <c r="K20" s="18" t="n">
        <v>1195</v>
      </c>
      <c r="L20" s="18" t="n">
        <v>1122</v>
      </c>
      <c r="M20" s="18" t="n">
        <v>1072</v>
      </c>
      <c r="N20" s="18" t="n">
        <v>1002</v>
      </c>
      <c r="O20" s="18" t="n">
        <v>940</v>
      </c>
      <c r="P20" s="18"/>
      <c r="Q20" s="18"/>
      <c r="R20" s="18"/>
      <c r="S20" s="18"/>
    </row>
    <row r="21" customFormat="false" ht="15" hidden="false" customHeight="false" outlineLevel="0" collapsed="false">
      <c r="A21" s="8" t="s">
        <v>38</v>
      </c>
      <c r="B21" s="18" t="n">
        <v>1114</v>
      </c>
      <c r="C21" s="18" t="n">
        <v>1135</v>
      </c>
      <c r="D21" s="18" t="n">
        <v>1161</v>
      </c>
      <c r="E21" s="18" t="n">
        <v>1188</v>
      </c>
      <c r="F21" s="18" t="n">
        <v>1222</v>
      </c>
      <c r="G21" s="18" t="n">
        <v>1242</v>
      </c>
      <c r="H21" s="18" t="n">
        <v>1238</v>
      </c>
      <c r="I21" s="18" t="n">
        <v>1251</v>
      </c>
      <c r="J21" s="18" t="n">
        <v>1241</v>
      </c>
      <c r="K21" s="18" t="n">
        <v>1205</v>
      </c>
      <c r="L21" s="18" t="n">
        <v>1147</v>
      </c>
      <c r="M21" s="18" t="n">
        <v>1084</v>
      </c>
      <c r="N21" s="18" t="n">
        <v>1051</v>
      </c>
      <c r="O21" s="18" t="n">
        <v>999</v>
      </c>
      <c r="P21" s="18"/>
      <c r="Q21" s="18"/>
      <c r="R21" s="18"/>
      <c r="S21" s="18"/>
    </row>
    <row r="22" customFormat="false" ht="17.15" hidden="false" customHeight="false" outlineLevel="0" collapsed="false">
      <c r="A22" s="6" t="s">
        <v>39</v>
      </c>
      <c r="B22" s="7" t="n">
        <f aca="false">B20+B21</f>
        <v>2267</v>
      </c>
      <c r="C22" s="7" t="n">
        <f aca="false">C20+C21</f>
        <v>2327</v>
      </c>
      <c r="D22" s="7" t="n">
        <f aca="false">D20+D21</f>
        <v>2366</v>
      </c>
      <c r="E22" s="7" t="n">
        <f aca="false">E20+E21</f>
        <v>2427</v>
      </c>
      <c r="F22" s="7" t="n">
        <f aca="false">F20+F21</f>
        <v>2473</v>
      </c>
      <c r="G22" s="7" t="n">
        <f aca="false">G20+G21</f>
        <v>2502</v>
      </c>
      <c r="H22" s="7" t="n">
        <f aca="false">H20+H21</f>
        <v>2502</v>
      </c>
      <c r="I22" s="7" t="n">
        <f aca="false">I20+I21</f>
        <v>2489</v>
      </c>
      <c r="J22" s="7" t="n">
        <f aca="false">J20+J21</f>
        <v>2481</v>
      </c>
      <c r="K22" s="7" t="n">
        <f aca="false">K20+K21</f>
        <v>2400</v>
      </c>
      <c r="L22" s="7" t="n">
        <f aca="false">L20+L21</f>
        <v>2269</v>
      </c>
      <c r="M22" s="7" t="n">
        <f aca="false">M20+M21</f>
        <v>2156</v>
      </c>
      <c r="N22" s="7" t="n">
        <f aca="false">N20+N21</f>
        <v>2053</v>
      </c>
      <c r="O22" s="7" t="n">
        <f aca="false">O20+O21</f>
        <v>1939</v>
      </c>
      <c r="P22" s="19" t="n">
        <v>1830</v>
      </c>
      <c r="Q22" s="19" t="n">
        <v>1739</v>
      </c>
      <c r="R22" s="19" t="n">
        <v>1654</v>
      </c>
      <c r="S22" s="19" t="n">
        <v>1568</v>
      </c>
    </row>
    <row r="23" customFormat="false" ht="17.15" hidden="false" customHeight="false" outlineLevel="0" collapsed="false">
      <c r="A23" s="4" t="s">
        <v>40</v>
      </c>
      <c r="B23" s="20" t="n">
        <v>35550</v>
      </c>
      <c r="C23" s="20" t="n">
        <v>38021</v>
      </c>
      <c r="D23" s="20" t="n">
        <v>39842</v>
      </c>
      <c r="E23" s="20" t="n">
        <v>42527</v>
      </c>
      <c r="F23" s="20" t="n">
        <v>43770</v>
      </c>
      <c r="G23" s="20" t="n">
        <v>43742</v>
      </c>
      <c r="H23" s="20" t="n">
        <v>42517</v>
      </c>
      <c r="I23" s="20" t="n">
        <v>41084</v>
      </c>
      <c r="J23" s="20" t="n">
        <v>40238</v>
      </c>
      <c r="K23" s="20" t="n">
        <v>39171</v>
      </c>
      <c r="L23" s="20" t="n">
        <v>37371</v>
      </c>
      <c r="M23" s="20" t="n">
        <v>35352</v>
      </c>
      <c r="N23" s="20" t="n">
        <v>33246</v>
      </c>
      <c r="O23" s="20" t="n">
        <v>30923</v>
      </c>
      <c r="P23" s="20" t="n">
        <v>28954</v>
      </c>
      <c r="Q23" s="20" t="n">
        <v>27387</v>
      </c>
      <c r="R23" s="20" t="n">
        <v>26064</v>
      </c>
      <c r="S23" s="20" t="n">
        <v>25042</v>
      </c>
    </row>
    <row r="26" customFormat="false" ht="17.15" hidden="false" customHeight="false" outlineLevel="0" collapsed="false">
      <c r="A26" s="12" t="s">
        <v>41</v>
      </c>
    </row>
    <row r="27" customFormat="false" ht="15" hidden="false" customHeight="false" outlineLevel="0" collapsed="false">
      <c r="A27" s="3" t="s">
        <v>2</v>
      </c>
      <c r="B27" s="3" t="n">
        <v>2010</v>
      </c>
      <c r="C27" s="3" t="n">
        <v>2011</v>
      </c>
      <c r="D27" s="3" t="n">
        <v>2012</v>
      </c>
      <c r="E27" s="3" t="n">
        <v>2013</v>
      </c>
      <c r="F27" s="3" t="n">
        <v>2014</v>
      </c>
      <c r="G27" s="3" t="n">
        <v>2015</v>
      </c>
      <c r="H27" s="3" t="n">
        <v>2016</v>
      </c>
      <c r="I27" s="3" t="n">
        <v>2017</v>
      </c>
      <c r="J27" s="3" t="n">
        <v>2018</v>
      </c>
      <c r="K27" s="3" t="n">
        <v>2019</v>
      </c>
      <c r="L27" s="3" t="n">
        <v>2020</v>
      </c>
      <c r="M27" s="3" t="n">
        <v>2021</v>
      </c>
      <c r="N27" s="3" t="n">
        <v>2022</v>
      </c>
    </row>
    <row r="28" customFormat="false" ht="15" hidden="false" customHeight="false" outlineLevel="0" collapsed="false">
      <c r="A28" s="8" t="s">
        <v>3</v>
      </c>
      <c r="B28" s="18" t="n">
        <v>236339</v>
      </c>
      <c r="C28" s="18" t="n">
        <v>243440</v>
      </c>
      <c r="D28" s="18" t="n">
        <v>261870</v>
      </c>
      <c r="E28" s="18" t="n">
        <v>270458</v>
      </c>
      <c r="F28" s="18" t="n">
        <v>275464</v>
      </c>
      <c r="G28" s="18" t="n">
        <v>274132</v>
      </c>
      <c r="H28" s="18" t="n">
        <v>270231</v>
      </c>
      <c r="I28" s="18" t="n">
        <v>268100</v>
      </c>
      <c r="J28" s="18" t="n">
        <v>263157</v>
      </c>
      <c r="K28" s="18" t="n">
        <v>254538</v>
      </c>
      <c r="L28" s="18" t="n">
        <v>245863</v>
      </c>
      <c r="M28" s="18" t="n">
        <v>235682</v>
      </c>
      <c r="N28" s="18" t="n">
        <v>223628</v>
      </c>
    </row>
    <row r="29" customFormat="false" ht="15" hidden="false" customHeight="false" outlineLevel="0" collapsed="false">
      <c r="A29" s="8" t="s">
        <v>4</v>
      </c>
      <c r="B29" s="18" t="n">
        <v>79526</v>
      </c>
      <c r="C29" s="18" t="n">
        <v>80583</v>
      </c>
      <c r="D29" s="18" t="n">
        <v>84863</v>
      </c>
      <c r="E29" s="18" t="n">
        <v>87238</v>
      </c>
      <c r="F29" s="18" t="n">
        <v>89078</v>
      </c>
      <c r="G29" s="18" t="n">
        <v>90014</v>
      </c>
      <c r="H29" s="18" t="n">
        <v>89658</v>
      </c>
      <c r="I29" s="18" t="n">
        <v>89040</v>
      </c>
      <c r="J29" s="18" t="n">
        <v>88222</v>
      </c>
      <c r="K29" s="18" t="n">
        <v>86553</v>
      </c>
      <c r="L29" s="18" t="n">
        <v>84008</v>
      </c>
      <c r="M29" s="18" t="n">
        <v>80248</v>
      </c>
      <c r="N29" s="18" t="n">
        <v>76146</v>
      </c>
    </row>
    <row r="30" customFormat="false" ht="15" hidden="false" customHeight="false" outlineLevel="0" collapsed="false">
      <c r="A30" s="8" t="s">
        <v>5</v>
      </c>
      <c r="B30" s="18" t="n">
        <v>76276</v>
      </c>
      <c r="C30" s="18" t="n">
        <v>77218</v>
      </c>
      <c r="D30" s="18" t="n">
        <v>79769</v>
      </c>
      <c r="E30" s="18" t="n">
        <v>79638</v>
      </c>
      <c r="F30" s="18" t="n">
        <v>79274</v>
      </c>
      <c r="G30" s="18" t="n">
        <v>77547</v>
      </c>
      <c r="H30" s="18" t="n">
        <v>75255</v>
      </c>
      <c r="I30" s="18" t="n">
        <v>74696</v>
      </c>
      <c r="J30" s="18" t="n">
        <v>72500</v>
      </c>
      <c r="K30" s="18" t="n">
        <v>69390</v>
      </c>
      <c r="L30" s="18" t="n">
        <v>66727</v>
      </c>
      <c r="M30" s="18" t="n">
        <v>62125</v>
      </c>
      <c r="N30" s="18" t="n">
        <v>59434</v>
      </c>
    </row>
    <row r="31" customFormat="false" ht="15" hidden="false" customHeight="false" outlineLevel="0" collapsed="false">
      <c r="A31" s="8" t="s">
        <v>6</v>
      </c>
      <c r="B31" s="18" t="n">
        <v>75533</v>
      </c>
      <c r="C31" s="18" t="n">
        <v>82245</v>
      </c>
      <c r="D31" s="18" t="n">
        <v>88062</v>
      </c>
      <c r="E31" s="18" t="n">
        <v>92290</v>
      </c>
      <c r="F31" s="18" t="n">
        <v>94812</v>
      </c>
      <c r="G31" s="18" t="n">
        <v>94735</v>
      </c>
      <c r="H31" s="18" t="n">
        <v>94314</v>
      </c>
      <c r="I31" s="18" t="n">
        <v>93938</v>
      </c>
      <c r="J31" s="18" t="n">
        <v>93888</v>
      </c>
      <c r="K31" s="18" t="n">
        <v>91615</v>
      </c>
      <c r="L31" s="18" t="n">
        <v>88002</v>
      </c>
      <c r="M31" s="18" t="n">
        <v>84877</v>
      </c>
      <c r="N31" s="18" t="n">
        <v>80896</v>
      </c>
    </row>
    <row r="32" customFormat="false" ht="15" hidden="false" customHeight="false" outlineLevel="0" collapsed="false">
      <c r="A32" s="8" t="s">
        <v>7</v>
      </c>
      <c r="B32" s="18" t="n">
        <v>50719</v>
      </c>
      <c r="C32" s="18" t="n">
        <v>52812</v>
      </c>
      <c r="D32" s="18" t="n">
        <v>54343</v>
      </c>
      <c r="E32" s="18" t="n">
        <v>55106</v>
      </c>
      <c r="F32" s="18" t="n">
        <v>55553</v>
      </c>
      <c r="G32" s="18" t="n">
        <v>55635</v>
      </c>
      <c r="H32" s="18" t="n">
        <v>54514</v>
      </c>
      <c r="I32" s="18" t="n">
        <v>53688</v>
      </c>
      <c r="J32" s="18" t="n">
        <v>51025</v>
      </c>
      <c r="K32" s="18" t="n">
        <v>47923</v>
      </c>
      <c r="L32" s="18" t="n">
        <v>45160</v>
      </c>
      <c r="M32" s="18" t="n">
        <v>42171</v>
      </c>
      <c r="N32" s="18" t="n">
        <v>39145</v>
      </c>
    </row>
    <row r="33" customFormat="false" ht="15" hidden="false" customHeight="false" outlineLevel="0" collapsed="false">
      <c r="A33" s="8" t="s">
        <v>8</v>
      </c>
      <c r="B33" s="18" t="n">
        <v>33091</v>
      </c>
      <c r="C33" s="18" t="n">
        <v>35621</v>
      </c>
      <c r="D33" s="18" t="n">
        <v>38210</v>
      </c>
      <c r="E33" s="18" t="n">
        <v>39629</v>
      </c>
      <c r="F33" s="18" t="n">
        <v>40754</v>
      </c>
      <c r="G33" s="18" t="n">
        <v>40899</v>
      </c>
      <c r="H33" s="18" t="n">
        <v>40257</v>
      </c>
      <c r="I33" s="18" t="n">
        <v>40305</v>
      </c>
      <c r="J33" s="18" t="n">
        <v>39894</v>
      </c>
      <c r="K33" s="18" t="n">
        <v>39650</v>
      </c>
      <c r="L33" s="18" t="n">
        <v>37491</v>
      </c>
      <c r="M33" s="18" t="n">
        <v>34583</v>
      </c>
      <c r="N33" s="18" t="n">
        <v>31746</v>
      </c>
    </row>
    <row r="34" customFormat="false" ht="15" hidden="false" customHeight="false" outlineLevel="0" collapsed="false">
      <c r="A34" s="8" t="s">
        <v>9</v>
      </c>
      <c r="B34" s="18" t="n">
        <v>0</v>
      </c>
      <c r="C34" s="18" t="n">
        <v>0</v>
      </c>
      <c r="D34" s="18" t="n">
        <v>5558</v>
      </c>
      <c r="E34" s="18" t="n">
        <v>6321</v>
      </c>
      <c r="F34" s="18" t="n">
        <v>8407</v>
      </c>
      <c r="G34" s="18" t="n">
        <v>10913</v>
      </c>
      <c r="H34" s="18" t="n">
        <v>12587</v>
      </c>
      <c r="I34" s="18" t="n">
        <v>14658</v>
      </c>
      <c r="J34" s="18" t="n">
        <v>17687</v>
      </c>
      <c r="K34" s="18" t="n">
        <v>19300</v>
      </c>
      <c r="L34" s="18" t="n">
        <v>19532</v>
      </c>
      <c r="M34" s="18" t="n">
        <v>19497</v>
      </c>
      <c r="N34" s="18" t="n">
        <v>18789</v>
      </c>
    </row>
    <row r="35" customFormat="false" ht="15" hidden="false" customHeight="false" outlineLevel="0" collapsed="false">
      <c r="A35" s="8" t="s">
        <v>10</v>
      </c>
      <c r="B35" s="18" t="n">
        <v>387247</v>
      </c>
      <c r="C35" s="18" t="n">
        <v>409956</v>
      </c>
      <c r="D35" s="18" t="n">
        <v>447370</v>
      </c>
      <c r="E35" s="18" t="n">
        <v>472497</v>
      </c>
      <c r="F35" s="18" t="n">
        <v>479093</v>
      </c>
      <c r="G35" s="18" t="n">
        <v>474619</v>
      </c>
      <c r="H35" s="18" t="n">
        <v>467469</v>
      </c>
      <c r="I35" s="18" t="n">
        <v>466020</v>
      </c>
      <c r="J35" s="21" t="n">
        <v>467296</v>
      </c>
      <c r="K35" s="18" t="n">
        <v>464409</v>
      </c>
      <c r="L35" s="18" t="n">
        <v>455556</v>
      </c>
      <c r="M35" s="18" t="n">
        <v>441927</v>
      </c>
      <c r="N35" s="18" t="n">
        <v>424321</v>
      </c>
    </row>
    <row r="36" customFormat="false" ht="15" hidden="false" customHeight="false" outlineLevel="0" collapsed="false">
      <c r="A36" s="8" t="s">
        <v>11</v>
      </c>
      <c r="B36" s="18" t="n">
        <v>51927</v>
      </c>
      <c r="C36" s="18" t="n">
        <v>53498</v>
      </c>
      <c r="D36" s="18" t="n">
        <v>56259</v>
      </c>
      <c r="E36" s="18" t="n">
        <v>56846</v>
      </c>
      <c r="F36" s="18" t="n">
        <v>56446</v>
      </c>
      <c r="G36" s="18" t="n">
        <v>55718</v>
      </c>
      <c r="H36" s="18" t="n">
        <v>54408</v>
      </c>
      <c r="I36" s="18" t="n">
        <v>53468</v>
      </c>
      <c r="J36" s="18" t="n">
        <v>51285</v>
      </c>
      <c r="K36" s="18" t="n">
        <v>49912</v>
      </c>
      <c r="L36" s="18" t="n">
        <v>48591</v>
      </c>
      <c r="M36" s="18" t="n">
        <v>47021</v>
      </c>
      <c r="N36" s="18" t="n">
        <v>45475</v>
      </c>
    </row>
    <row r="37" customFormat="false" ht="15" hidden="false" customHeight="false" outlineLevel="0" collapsed="false">
      <c r="A37" s="8" t="s">
        <v>12</v>
      </c>
      <c r="B37" s="18" t="n">
        <v>58275</v>
      </c>
      <c r="C37" s="18" t="n">
        <v>59175</v>
      </c>
      <c r="D37" s="18" t="n">
        <v>61590</v>
      </c>
      <c r="E37" s="18" t="n">
        <v>62739</v>
      </c>
      <c r="F37" s="18" t="n">
        <v>63214</v>
      </c>
      <c r="G37" s="18" t="n">
        <v>63601</v>
      </c>
      <c r="H37" s="18" t="n">
        <v>63108</v>
      </c>
      <c r="I37" s="18" t="n">
        <v>62582</v>
      </c>
      <c r="J37" s="18" t="n">
        <v>61211</v>
      </c>
      <c r="K37" s="18" t="n">
        <v>60113</v>
      </c>
      <c r="L37" s="18" t="n">
        <v>58541</v>
      </c>
      <c r="M37" s="18" t="n">
        <v>57092</v>
      </c>
      <c r="N37" s="18" t="n">
        <v>54338</v>
      </c>
    </row>
    <row r="38" customFormat="false" ht="15" hidden="false" customHeight="false" outlineLevel="0" collapsed="false">
      <c r="A38" s="8" t="s">
        <v>13</v>
      </c>
      <c r="B38" s="18" t="n">
        <v>71851</v>
      </c>
      <c r="C38" s="18" t="n">
        <v>78245</v>
      </c>
      <c r="D38" s="18" t="n">
        <v>81169</v>
      </c>
      <c r="E38" s="18" t="n">
        <v>88126</v>
      </c>
      <c r="F38" s="18" t="n">
        <v>87915</v>
      </c>
      <c r="G38" s="18" t="n">
        <v>87524</v>
      </c>
      <c r="H38" s="18" t="n">
        <v>87635</v>
      </c>
      <c r="I38" s="18" t="n">
        <v>87488</v>
      </c>
      <c r="J38" s="18" t="n">
        <v>86149</v>
      </c>
      <c r="K38" s="18" t="n">
        <v>82697</v>
      </c>
      <c r="L38" s="18" t="n">
        <v>79979</v>
      </c>
      <c r="M38" s="18" t="n">
        <v>76555</v>
      </c>
      <c r="N38" s="18" t="n">
        <v>72870</v>
      </c>
    </row>
    <row r="39" customFormat="false" ht="15" hidden="false" customHeight="false" outlineLevel="0" collapsed="false">
      <c r="A39" s="8" t="s">
        <v>14</v>
      </c>
      <c r="B39" s="18" t="n">
        <v>72750</v>
      </c>
      <c r="C39" s="18" t="n">
        <v>72700</v>
      </c>
      <c r="D39" s="18" t="n">
        <v>74226</v>
      </c>
      <c r="E39" s="18" t="n">
        <v>75181</v>
      </c>
      <c r="F39" s="18" t="n">
        <v>75275</v>
      </c>
      <c r="G39" s="18" t="n">
        <v>73738</v>
      </c>
      <c r="H39" s="18" t="n">
        <v>71946</v>
      </c>
      <c r="I39" s="18" t="n">
        <v>69650</v>
      </c>
      <c r="J39" s="18" t="n">
        <v>66016</v>
      </c>
      <c r="K39" s="18" t="n">
        <v>62327</v>
      </c>
      <c r="L39" s="18" t="n">
        <v>59314</v>
      </c>
      <c r="M39" s="18" t="n">
        <v>55361</v>
      </c>
      <c r="N39" s="18" t="n">
        <v>51748</v>
      </c>
    </row>
    <row r="40" customFormat="false" ht="15" hidden="false" customHeight="false" outlineLevel="0" collapsed="false">
      <c r="A40" s="8" t="s">
        <v>15</v>
      </c>
      <c r="B40" s="18" t="n">
        <v>88960</v>
      </c>
      <c r="C40" s="18" t="n">
        <v>93839</v>
      </c>
      <c r="D40" s="18" t="n">
        <v>96368</v>
      </c>
      <c r="E40" s="18" t="n">
        <v>97889</v>
      </c>
      <c r="F40" s="18" t="n">
        <v>95612</v>
      </c>
      <c r="G40" s="18" t="n">
        <v>93978</v>
      </c>
      <c r="H40" s="18" t="n">
        <v>93950</v>
      </c>
      <c r="I40" s="18" t="n">
        <v>92669</v>
      </c>
      <c r="J40" s="18" t="n">
        <v>89483</v>
      </c>
      <c r="K40" s="18" t="n">
        <v>85567</v>
      </c>
      <c r="L40" s="18" t="n">
        <v>81541</v>
      </c>
      <c r="M40" s="18" t="n">
        <v>77622</v>
      </c>
      <c r="N40" s="18" t="n">
        <v>72231</v>
      </c>
    </row>
    <row r="41" customFormat="false" ht="15" hidden="false" customHeight="false" outlineLevel="0" collapsed="false">
      <c r="A41" s="8" t="s">
        <v>16</v>
      </c>
      <c r="B41" s="18" t="n">
        <v>118204</v>
      </c>
      <c r="C41" s="18" t="n">
        <v>124478</v>
      </c>
      <c r="D41" s="18" t="n">
        <v>129308</v>
      </c>
      <c r="E41" s="18" t="n">
        <v>132963</v>
      </c>
      <c r="F41" s="18" t="n">
        <v>133204</v>
      </c>
      <c r="G41" s="18" t="n">
        <v>130665</v>
      </c>
      <c r="H41" s="18" t="n">
        <v>127325</v>
      </c>
      <c r="I41" s="18" t="n">
        <v>126361</v>
      </c>
      <c r="J41" s="18" t="n">
        <v>125015</v>
      </c>
      <c r="K41" s="18" t="n">
        <v>119534</v>
      </c>
      <c r="L41" s="18" t="n">
        <v>112049</v>
      </c>
      <c r="M41" s="18" t="n">
        <v>105786</v>
      </c>
      <c r="N41" s="18" t="n">
        <v>96773</v>
      </c>
    </row>
    <row r="42" customFormat="false" ht="15" hidden="false" customHeight="false" outlineLevel="0" collapsed="false">
      <c r="A42" s="8" t="s">
        <v>17</v>
      </c>
      <c r="B42" s="18" t="n">
        <v>29210</v>
      </c>
      <c r="C42" s="18" t="n">
        <v>30540</v>
      </c>
      <c r="D42" s="18" t="n">
        <v>32326</v>
      </c>
      <c r="E42" s="18" t="n">
        <v>33185</v>
      </c>
      <c r="F42" s="18" t="n">
        <v>33009</v>
      </c>
      <c r="G42" s="18" t="n">
        <v>32830</v>
      </c>
      <c r="H42" s="18" t="n">
        <v>31176</v>
      </c>
      <c r="I42" s="18" t="n">
        <v>30531</v>
      </c>
      <c r="J42" s="18" t="n">
        <v>29950</v>
      </c>
      <c r="K42" s="18" t="n">
        <v>29588</v>
      </c>
      <c r="L42" s="18" t="n">
        <v>29017</v>
      </c>
      <c r="M42" s="18" t="n">
        <v>27724</v>
      </c>
      <c r="N42" s="18" t="n">
        <v>26568</v>
      </c>
    </row>
    <row r="43" customFormat="false" ht="15" hidden="false" customHeight="false" outlineLevel="0" collapsed="false">
      <c r="A43" s="8" t="s">
        <v>37</v>
      </c>
      <c r="B43" s="18" t="n">
        <v>60833</v>
      </c>
      <c r="C43" s="18" t="n">
        <v>60943</v>
      </c>
      <c r="D43" s="18" t="n">
        <v>61975</v>
      </c>
      <c r="E43" s="18" t="n">
        <v>62582</v>
      </c>
      <c r="F43" s="18" t="n">
        <v>62676</v>
      </c>
      <c r="G43" s="18" t="n">
        <v>63471</v>
      </c>
      <c r="H43" s="18" t="n">
        <v>62528</v>
      </c>
      <c r="I43" s="18" t="n">
        <v>63161</v>
      </c>
      <c r="J43" s="18" t="n">
        <v>61121</v>
      </c>
      <c r="K43" s="18" t="n">
        <v>57756</v>
      </c>
      <c r="L43" s="18" t="n">
        <v>55020</v>
      </c>
      <c r="M43" s="18" t="n">
        <v>49556</v>
      </c>
      <c r="N43" s="18" t="n">
        <v>46531</v>
      </c>
    </row>
    <row r="44" customFormat="false" ht="15" hidden="false" customHeight="false" outlineLevel="0" collapsed="false">
      <c r="A44" s="8" t="s">
        <v>38</v>
      </c>
      <c r="B44" s="18" t="n">
        <v>66067</v>
      </c>
      <c r="C44" s="18" t="n">
        <v>66655</v>
      </c>
      <c r="D44" s="18" t="n">
        <v>68651</v>
      </c>
      <c r="E44" s="18" t="n">
        <v>69771</v>
      </c>
      <c r="F44" s="18" t="n">
        <v>70873</v>
      </c>
      <c r="G44" s="18" t="n">
        <v>70802</v>
      </c>
      <c r="H44" s="18" t="n">
        <v>70863</v>
      </c>
      <c r="I44" s="18" t="n">
        <v>70248</v>
      </c>
      <c r="J44" s="18" t="n">
        <v>68425</v>
      </c>
      <c r="K44" s="18" t="n">
        <v>66001</v>
      </c>
      <c r="L44" s="18" t="n">
        <v>61869</v>
      </c>
      <c r="M44" s="18" t="n">
        <v>59669</v>
      </c>
      <c r="N44" s="18" t="n">
        <v>56047</v>
      </c>
    </row>
    <row r="45" customFormat="false" ht="17.15" hidden="false" customHeight="false" outlineLevel="0" collapsed="false">
      <c r="A45" s="6" t="s">
        <v>39</v>
      </c>
      <c r="B45" s="7" t="n">
        <f aca="false">B43+B44</f>
        <v>126900</v>
      </c>
      <c r="C45" s="7" t="n">
        <f aca="false">C43+C44</f>
        <v>127598</v>
      </c>
      <c r="D45" s="7" t="n">
        <f aca="false">D43+D44</f>
        <v>130626</v>
      </c>
      <c r="E45" s="7" t="n">
        <f aca="false">E43+E44</f>
        <v>132353</v>
      </c>
      <c r="F45" s="7" t="n">
        <f aca="false">F43+F44</f>
        <v>133549</v>
      </c>
      <c r="G45" s="7" t="n">
        <f aca="false">G43+G44</f>
        <v>134273</v>
      </c>
      <c r="H45" s="7" t="n">
        <f aca="false">H43+H44</f>
        <v>133391</v>
      </c>
      <c r="I45" s="7" t="n">
        <f aca="false">I43+I44</f>
        <v>133409</v>
      </c>
      <c r="J45" s="7" t="n">
        <f aca="false">J43+J44</f>
        <v>129546</v>
      </c>
      <c r="K45" s="7" t="n">
        <f aca="false">K43+K44</f>
        <v>123757</v>
      </c>
      <c r="L45" s="7" t="n">
        <f aca="false">L43+L44</f>
        <v>116889</v>
      </c>
      <c r="M45" s="7" t="n">
        <f aca="false">M43+M44</f>
        <v>109225</v>
      </c>
      <c r="N45" s="7" t="n">
        <f aca="false">N43+N44</f>
        <v>102578</v>
      </c>
    </row>
    <row r="46" customFormat="false" ht="17.15" hidden="false" customHeight="false" outlineLevel="0" collapsed="false">
      <c r="A46" s="4" t="s">
        <v>40</v>
      </c>
      <c r="B46" s="20" t="n">
        <v>1556808</v>
      </c>
      <c r="C46" s="20" t="n">
        <v>1621948</v>
      </c>
      <c r="D46" s="20" t="n">
        <v>1721917</v>
      </c>
      <c r="E46" s="20" t="n">
        <v>1782459</v>
      </c>
      <c r="F46" s="20" t="n">
        <v>1800659</v>
      </c>
      <c r="G46" s="20" t="n">
        <v>1790821</v>
      </c>
      <c r="H46" s="20" t="n">
        <v>1767224</v>
      </c>
      <c r="I46" s="20" t="n">
        <v>1756603</v>
      </c>
      <c r="J46" s="20" t="n">
        <v>1732324</v>
      </c>
      <c r="K46" s="20" t="n">
        <v>1686873</v>
      </c>
      <c r="L46" s="20" t="n">
        <v>1628260</v>
      </c>
      <c r="M46" s="20" t="n">
        <v>1557496</v>
      </c>
      <c r="N46" s="20" t="n">
        <v>1476686</v>
      </c>
    </row>
    <row r="49" customFormat="false" ht="17.15" hidden="false" customHeight="false" outlineLevel="0" collapsed="false">
      <c r="A49" s="12" t="s">
        <v>42</v>
      </c>
    </row>
    <row r="50" customFormat="false" ht="15" hidden="false" customHeight="false" outlineLevel="0" collapsed="false">
      <c r="A50" s="3" t="s">
        <v>2</v>
      </c>
      <c r="B50" s="3" t="n">
        <v>2010</v>
      </c>
      <c r="C50" s="3" t="n">
        <v>2011</v>
      </c>
      <c r="D50" s="3" t="n">
        <v>2012</v>
      </c>
      <c r="E50" s="3" t="n">
        <v>2013</v>
      </c>
      <c r="F50" s="3" t="n">
        <v>2014</v>
      </c>
      <c r="G50" s="3" t="n">
        <v>2015</v>
      </c>
      <c r="H50" s="3" t="n">
        <v>2016</v>
      </c>
      <c r="I50" s="3" t="n">
        <v>2017</v>
      </c>
      <c r="J50" s="3" t="n">
        <v>2018</v>
      </c>
      <c r="K50" s="3" t="n">
        <v>2019</v>
      </c>
      <c r="L50" s="3" t="n">
        <v>2020</v>
      </c>
      <c r="M50" s="3" t="n">
        <v>2021</v>
      </c>
      <c r="N50" s="3" t="n">
        <v>2022</v>
      </c>
    </row>
    <row r="51" customFormat="false" ht="15" hidden="false" customHeight="false" outlineLevel="0" collapsed="false">
      <c r="A51" s="8" t="s">
        <v>3</v>
      </c>
      <c r="B51" s="18" t="n">
        <v>206581</v>
      </c>
      <c r="C51" s="18" t="n">
        <v>214863</v>
      </c>
      <c r="D51" s="18" t="n">
        <v>239335</v>
      </c>
      <c r="E51" s="18" t="n">
        <v>242648</v>
      </c>
      <c r="F51" s="18" t="n">
        <v>243432</v>
      </c>
      <c r="G51" s="18" t="n">
        <v>238103</v>
      </c>
      <c r="H51" s="18" t="n">
        <v>236550</v>
      </c>
      <c r="I51" s="18" t="n">
        <v>234867</v>
      </c>
      <c r="J51" s="18" t="n">
        <v>226959</v>
      </c>
      <c r="K51" s="18" t="n">
        <v>217444</v>
      </c>
      <c r="L51" s="18" t="n">
        <v>196260</v>
      </c>
      <c r="M51" s="18" t="n">
        <v>182922</v>
      </c>
      <c r="N51" s="18" t="n">
        <v>167427</v>
      </c>
    </row>
    <row r="52" customFormat="false" ht="15" hidden="false" customHeight="false" outlineLevel="0" collapsed="false">
      <c r="A52" s="8" t="s">
        <v>4</v>
      </c>
      <c r="B52" s="18" t="n">
        <v>65822</v>
      </c>
      <c r="C52" s="18" t="n">
        <v>68050</v>
      </c>
      <c r="D52" s="18" t="n">
        <v>73991</v>
      </c>
      <c r="E52" s="18" t="n">
        <v>74317</v>
      </c>
      <c r="F52" s="18" t="n">
        <v>75407</v>
      </c>
      <c r="G52" s="18" t="n">
        <v>74003</v>
      </c>
      <c r="H52" s="18" t="n">
        <v>75006</v>
      </c>
      <c r="I52" s="18" t="n">
        <v>74971</v>
      </c>
      <c r="J52" s="18" t="n">
        <v>73586</v>
      </c>
      <c r="K52" s="18" t="n">
        <v>70977</v>
      </c>
      <c r="L52" s="18" t="n">
        <v>65290</v>
      </c>
      <c r="M52" s="18" t="n">
        <v>61611</v>
      </c>
      <c r="N52" s="18" t="n">
        <v>55850</v>
      </c>
    </row>
    <row r="53" customFormat="false" ht="15" hidden="false" customHeight="false" outlineLevel="0" collapsed="false">
      <c r="A53" s="8" t="s">
        <v>5</v>
      </c>
      <c r="B53" s="18" t="n">
        <v>61765</v>
      </c>
      <c r="C53" s="18" t="n">
        <v>63118</v>
      </c>
      <c r="D53" s="18" t="n">
        <v>66795</v>
      </c>
      <c r="E53" s="18" t="n">
        <v>63505</v>
      </c>
      <c r="F53" s="18" t="n">
        <v>62824</v>
      </c>
      <c r="G53" s="18" t="n">
        <v>59449</v>
      </c>
      <c r="H53" s="18" t="n">
        <v>58706</v>
      </c>
      <c r="I53" s="18" t="n">
        <v>58591</v>
      </c>
      <c r="J53" s="18" t="n">
        <v>56943</v>
      </c>
      <c r="K53" s="18" t="n">
        <v>54641</v>
      </c>
      <c r="L53" s="18" t="n">
        <v>49029</v>
      </c>
      <c r="M53" s="18" t="n">
        <v>46211</v>
      </c>
      <c r="N53" s="18" t="n">
        <v>42487</v>
      </c>
    </row>
    <row r="54" customFormat="false" ht="15" hidden="false" customHeight="false" outlineLevel="0" collapsed="false">
      <c r="A54" s="8" t="s">
        <v>6</v>
      </c>
      <c r="B54" s="18" t="n">
        <v>65075</v>
      </c>
      <c r="C54" s="18" t="n">
        <v>71381</v>
      </c>
      <c r="D54" s="18" t="n">
        <v>79751</v>
      </c>
      <c r="E54" s="18" t="n">
        <v>81796</v>
      </c>
      <c r="F54" s="18" t="n">
        <v>83731</v>
      </c>
      <c r="G54" s="18" t="n">
        <v>81353</v>
      </c>
      <c r="H54" s="18" t="n">
        <v>81096</v>
      </c>
      <c r="I54" s="18" t="n">
        <v>80895</v>
      </c>
      <c r="J54" s="18" t="n">
        <v>79164</v>
      </c>
      <c r="K54" s="18" t="n">
        <v>76084</v>
      </c>
      <c r="L54" s="18" t="n">
        <v>68106</v>
      </c>
      <c r="M54" s="18" t="n">
        <v>65663</v>
      </c>
      <c r="N54" s="18" t="n">
        <v>62200</v>
      </c>
    </row>
    <row r="55" customFormat="false" ht="15" hidden="false" customHeight="false" outlineLevel="0" collapsed="false">
      <c r="A55" s="8" t="s">
        <v>7</v>
      </c>
      <c r="B55" s="18" t="n">
        <v>42105</v>
      </c>
      <c r="C55" s="18" t="n">
        <v>44573</v>
      </c>
      <c r="D55" s="18" t="n">
        <v>48432</v>
      </c>
      <c r="E55" s="18" t="n">
        <v>47163</v>
      </c>
      <c r="F55" s="18" t="n">
        <v>46859</v>
      </c>
      <c r="G55" s="18" t="n">
        <v>44691</v>
      </c>
      <c r="H55" s="18" t="n">
        <v>44482</v>
      </c>
      <c r="I55" s="18" t="n">
        <v>43761</v>
      </c>
      <c r="J55" s="18" t="n">
        <v>41553</v>
      </c>
      <c r="K55" s="18" t="n">
        <v>38526</v>
      </c>
      <c r="L55" s="18" t="n">
        <v>34037</v>
      </c>
      <c r="M55" s="18" t="n">
        <v>31177</v>
      </c>
      <c r="N55" s="18" t="n">
        <v>28144</v>
      </c>
    </row>
    <row r="56" customFormat="false" ht="15" hidden="false" customHeight="false" outlineLevel="0" collapsed="false">
      <c r="A56" s="8" t="s">
        <v>8</v>
      </c>
      <c r="B56" s="18" t="n">
        <v>27350</v>
      </c>
      <c r="C56" s="18" t="n">
        <v>29976</v>
      </c>
      <c r="D56" s="18" t="n">
        <v>33800</v>
      </c>
      <c r="E56" s="18" t="n">
        <v>34269</v>
      </c>
      <c r="F56" s="18" t="n">
        <v>35383</v>
      </c>
      <c r="G56" s="18" t="n">
        <v>34676</v>
      </c>
      <c r="H56" s="18" t="n">
        <v>34762</v>
      </c>
      <c r="I56" s="18" t="n">
        <v>34657</v>
      </c>
      <c r="J56" s="18" t="n">
        <v>34436</v>
      </c>
      <c r="K56" s="18" t="n">
        <v>33315</v>
      </c>
      <c r="L56" s="18" t="n">
        <v>29805</v>
      </c>
      <c r="M56" s="18" t="n">
        <v>27328</v>
      </c>
      <c r="N56" s="18" t="n">
        <v>24892</v>
      </c>
    </row>
    <row r="57" customFormat="false" ht="15" hidden="false" customHeight="false" outlineLevel="0" collapsed="false">
      <c r="A57" s="8" t="s">
        <v>9</v>
      </c>
      <c r="B57" s="18" t="n">
        <v>0</v>
      </c>
      <c r="C57" s="18" t="n">
        <v>0</v>
      </c>
      <c r="D57" s="18" t="n">
        <v>4547</v>
      </c>
      <c r="E57" s="18" t="n">
        <v>5158</v>
      </c>
      <c r="F57" s="18" t="n">
        <v>6405</v>
      </c>
      <c r="G57" s="18" t="n">
        <v>8723</v>
      </c>
      <c r="H57" s="18" t="n">
        <v>10846</v>
      </c>
      <c r="I57" s="18" t="n">
        <v>12580</v>
      </c>
      <c r="J57" s="18" t="n">
        <v>14298</v>
      </c>
      <c r="K57" s="18" t="n">
        <v>15525</v>
      </c>
      <c r="L57" s="18" t="n">
        <v>15349</v>
      </c>
      <c r="M57" s="18" t="n">
        <v>15248</v>
      </c>
      <c r="N57" s="18" t="n">
        <v>14927</v>
      </c>
    </row>
    <row r="58" customFormat="false" ht="15" hidden="false" customHeight="false" outlineLevel="0" collapsed="false">
      <c r="A58" s="8" t="s">
        <v>10</v>
      </c>
      <c r="B58" s="18" t="n">
        <v>320056</v>
      </c>
      <c r="C58" s="18" t="n">
        <v>344326</v>
      </c>
      <c r="D58" s="18" t="n">
        <v>392515</v>
      </c>
      <c r="E58" s="18" t="n">
        <v>397656</v>
      </c>
      <c r="F58" s="18" t="n">
        <v>402945</v>
      </c>
      <c r="G58" s="18" t="n">
        <v>389398</v>
      </c>
      <c r="H58" s="18" t="n">
        <v>390870</v>
      </c>
      <c r="I58" s="18" t="n">
        <v>394882</v>
      </c>
      <c r="J58" s="18" t="n">
        <v>393149</v>
      </c>
      <c r="K58" s="18" t="n">
        <v>389004</v>
      </c>
      <c r="L58" s="18" t="n">
        <v>358813</v>
      </c>
      <c r="M58" s="18" t="n">
        <v>350117</v>
      </c>
      <c r="N58" s="18" t="n">
        <v>331516</v>
      </c>
    </row>
    <row r="59" customFormat="false" ht="15" hidden="false" customHeight="false" outlineLevel="0" collapsed="false">
      <c r="A59" s="8" t="s">
        <v>11</v>
      </c>
      <c r="B59" s="18" t="n">
        <v>41292</v>
      </c>
      <c r="C59" s="18" t="n">
        <v>42996</v>
      </c>
      <c r="D59" s="18" t="n">
        <v>46007</v>
      </c>
      <c r="E59" s="18" t="n">
        <v>45113</v>
      </c>
      <c r="F59" s="18" t="n">
        <v>44280</v>
      </c>
      <c r="G59" s="18" t="n">
        <v>42238</v>
      </c>
      <c r="H59" s="18" t="n">
        <v>41743</v>
      </c>
      <c r="I59" s="18" t="n">
        <v>41020</v>
      </c>
      <c r="J59" s="18" t="n">
        <v>39337</v>
      </c>
      <c r="K59" s="18" t="n">
        <v>37902</v>
      </c>
      <c r="L59" s="18" t="n">
        <v>35406</v>
      </c>
      <c r="M59" s="18" t="n">
        <v>34622</v>
      </c>
      <c r="N59" s="18" t="n">
        <v>32680</v>
      </c>
    </row>
    <row r="60" customFormat="false" ht="15" hidden="false" customHeight="false" outlineLevel="0" collapsed="false">
      <c r="A60" s="8" t="s">
        <v>12</v>
      </c>
      <c r="B60" s="18" t="n">
        <v>45983</v>
      </c>
      <c r="C60" s="18" t="n">
        <v>48251</v>
      </c>
      <c r="D60" s="18" t="n">
        <v>51467</v>
      </c>
      <c r="E60" s="18" t="n">
        <v>51476</v>
      </c>
      <c r="F60" s="18" t="n">
        <v>51491</v>
      </c>
      <c r="G60" s="18" t="n">
        <v>49787</v>
      </c>
      <c r="H60" s="18" t="n">
        <v>50014</v>
      </c>
      <c r="I60" s="18" t="n">
        <v>49896</v>
      </c>
      <c r="J60" s="18" t="n">
        <v>48774</v>
      </c>
      <c r="K60" s="18" t="n">
        <v>47266</v>
      </c>
      <c r="L60" s="18" t="n">
        <v>43675</v>
      </c>
      <c r="M60" s="18" t="n">
        <v>42124</v>
      </c>
      <c r="N60" s="18" t="n">
        <v>38884</v>
      </c>
    </row>
    <row r="61" customFormat="false" ht="15" hidden="false" customHeight="false" outlineLevel="0" collapsed="false">
      <c r="A61" s="8" t="s">
        <v>13</v>
      </c>
      <c r="B61" s="18" t="n">
        <v>58305</v>
      </c>
      <c r="C61" s="18" t="n">
        <v>63236</v>
      </c>
      <c r="D61" s="18" t="n">
        <v>67626</v>
      </c>
      <c r="E61" s="18" t="n">
        <v>69395</v>
      </c>
      <c r="F61" s="18" t="n">
        <v>70015</v>
      </c>
      <c r="G61" s="18" t="n">
        <v>68750</v>
      </c>
      <c r="H61" s="18" t="n">
        <v>69364</v>
      </c>
      <c r="I61" s="18" t="n">
        <v>69787</v>
      </c>
      <c r="J61" s="18" t="n">
        <v>68411</v>
      </c>
      <c r="K61" s="18" t="n">
        <v>65304</v>
      </c>
      <c r="L61" s="18" t="n">
        <v>59379</v>
      </c>
      <c r="M61" s="18" t="n">
        <v>56504</v>
      </c>
      <c r="N61" s="18" t="n">
        <v>52196</v>
      </c>
    </row>
    <row r="62" customFormat="false" ht="15" hidden="false" customHeight="false" outlineLevel="0" collapsed="false">
      <c r="A62" s="8" t="s">
        <v>14</v>
      </c>
      <c r="B62" s="18" t="n">
        <v>56531</v>
      </c>
      <c r="C62" s="18" t="n">
        <v>57114</v>
      </c>
      <c r="D62" s="18" t="n">
        <v>60401</v>
      </c>
      <c r="E62" s="18" t="n">
        <v>59050</v>
      </c>
      <c r="F62" s="18" t="n">
        <v>58328</v>
      </c>
      <c r="G62" s="18" t="n">
        <v>55226</v>
      </c>
      <c r="H62" s="18" t="n">
        <v>53798</v>
      </c>
      <c r="I62" s="18" t="n">
        <v>52105</v>
      </c>
      <c r="J62" s="18" t="n">
        <v>49670</v>
      </c>
      <c r="K62" s="18" t="n">
        <v>46698</v>
      </c>
      <c r="L62" s="18" t="n">
        <v>41961</v>
      </c>
      <c r="M62" s="18" t="n">
        <v>38978</v>
      </c>
      <c r="N62" s="18" t="n">
        <v>34789</v>
      </c>
    </row>
    <row r="63" customFormat="false" ht="15" hidden="false" customHeight="false" outlineLevel="0" collapsed="false">
      <c r="A63" s="8" t="s">
        <v>15</v>
      </c>
      <c r="B63" s="18" t="n">
        <v>69395</v>
      </c>
      <c r="C63" s="18" t="n">
        <v>72261</v>
      </c>
      <c r="D63" s="18" t="n">
        <v>77010</v>
      </c>
      <c r="E63" s="18" t="n">
        <v>73825</v>
      </c>
      <c r="F63" s="18" t="n">
        <v>73271</v>
      </c>
      <c r="G63" s="18" t="n">
        <v>70860</v>
      </c>
      <c r="H63" s="18" t="n">
        <v>71010</v>
      </c>
      <c r="I63" s="18" t="n">
        <v>70901</v>
      </c>
      <c r="J63" s="18" t="n">
        <v>67914</v>
      </c>
      <c r="K63" s="18" t="n">
        <v>64120</v>
      </c>
      <c r="L63" s="18" t="n">
        <v>58234</v>
      </c>
      <c r="M63" s="18" t="n">
        <v>54954</v>
      </c>
      <c r="N63" s="18" t="n">
        <v>48988</v>
      </c>
    </row>
    <row r="64" customFormat="false" ht="15" hidden="false" customHeight="false" outlineLevel="0" collapsed="false">
      <c r="A64" s="8" t="s">
        <v>16</v>
      </c>
      <c r="B64" s="18" t="n">
        <v>93059</v>
      </c>
      <c r="C64" s="18" t="n">
        <v>99100</v>
      </c>
      <c r="D64" s="18" t="n">
        <v>108931</v>
      </c>
      <c r="E64" s="18" t="n">
        <v>106745</v>
      </c>
      <c r="F64" s="18" t="n">
        <v>108121</v>
      </c>
      <c r="G64" s="18" t="n">
        <v>105271</v>
      </c>
      <c r="H64" s="18" t="n">
        <v>103822</v>
      </c>
      <c r="I64" s="18" t="n">
        <v>103717</v>
      </c>
      <c r="J64" s="18" t="n">
        <v>99755</v>
      </c>
      <c r="K64" s="18" t="n">
        <v>93756</v>
      </c>
      <c r="L64" s="18" t="n">
        <v>84337</v>
      </c>
      <c r="M64" s="18" t="n">
        <v>78004</v>
      </c>
      <c r="N64" s="18" t="n">
        <v>68841</v>
      </c>
    </row>
    <row r="65" customFormat="false" ht="15" hidden="false" customHeight="false" outlineLevel="0" collapsed="false">
      <c r="A65" s="8" t="s">
        <v>17</v>
      </c>
      <c r="B65" s="18" t="n">
        <v>24809</v>
      </c>
      <c r="C65" s="18" t="n">
        <v>25513</v>
      </c>
      <c r="D65" s="18" t="n">
        <v>26894</v>
      </c>
      <c r="E65" s="18" t="n">
        <v>27256</v>
      </c>
      <c r="F65" s="18" t="n">
        <v>27402</v>
      </c>
      <c r="G65" s="18" t="n">
        <v>27109</v>
      </c>
      <c r="H65" s="18" t="n">
        <v>27231</v>
      </c>
      <c r="I65" s="18" t="n">
        <v>27191</v>
      </c>
      <c r="J65" s="18" t="n">
        <v>26458</v>
      </c>
      <c r="K65" s="18" t="n">
        <v>25197</v>
      </c>
      <c r="L65" s="18" t="n">
        <v>23825</v>
      </c>
      <c r="M65" s="18" t="n">
        <v>22451</v>
      </c>
      <c r="N65" s="18" t="n">
        <v>20970</v>
      </c>
    </row>
    <row r="66" customFormat="false" ht="15" hidden="false" customHeight="false" outlineLevel="0" collapsed="false">
      <c r="A66" s="8" t="s">
        <v>37</v>
      </c>
      <c r="B66" s="18" t="n">
        <v>48879</v>
      </c>
      <c r="C66" s="18" t="n">
        <v>49983</v>
      </c>
      <c r="D66" s="18" t="n">
        <v>53378</v>
      </c>
      <c r="E66" s="18" t="n">
        <v>51274</v>
      </c>
      <c r="F66" s="18" t="n">
        <v>50672</v>
      </c>
      <c r="G66" s="18" t="n">
        <v>48529</v>
      </c>
      <c r="H66" s="18" t="n">
        <v>47207</v>
      </c>
      <c r="I66" s="18" t="n">
        <v>46650</v>
      </c>
      <c r="J66" s="18" t="n">
        <v>44134</v>
      </c>
      <c r="K66" s="18" t="n">
        <v>41530</v>
      </c>
      <c r="L66" s="18" t="n">
        <v>36742</v>
      </c>
      <c r="M66" s="18" t="n">
        <v>34561</v>
      </c>
      <c r="N66" s="18" t="n">
        <v>31732</v>
      </c>
    </row>
    <row r="67" customFormat="false" ht="15" hidden="false" customHeight="false" outlineLevel="0" collapsed="false">
      <c r="A67" s="8" t="s">
        <v>38</v>
      </c>
      <c r="B67" s="18" t="n">
        <v>52903</v>
      </c>
      <c r="C67" s="18" t="n">
        <v>53988</v>
      </c>
      <c r="D67" s="18" t="n">
        <v>56481</v>
      </c>
      <c r="E67" s="18" t="n">
        <v>56334</v>
      </c>
      <c r="F67" s="18" t="n">
        <v>56105</v>
      </c>
      <c r="G67" s="18" t="n">
        <v>54647</v>
      </c>
      <c r="H67" s="18" t="n">
        <v>54708</v>
      </c>
      <c r="I67" s="18" t="n">
        <v>53772</v>
      </c>
      <c r="J67" s="18" t="n">
        <v>51201</v>
      </c>
      <c r="K67" s="18" t="n">
        <v>47796</v>
      </c>
      <c r="L67" s="18" t="n">
        <v>44148</v>
      </c>
      <c r="M67" s="18" t="n">
        <v>42241</v>
      </c>
      <c r="N67" s="18" t="n">
        <v>38927</v>
      </c>
    </row>
    <row r="68" customFormat="false" ht="17.15" hidden="false" customHeight="false" outlineLevel="0" collapsed="false">
      <c r="A68" s="6" t="s">
        <v>39</v>
      </c>
      <c r="B68" s="7" t="n">
        <f aca="false">B66+B67</f>
        <v>101782</v>
      </c>
      <c r="C68" s="7" t="n">
        <f aca="false">C66+C67</f>
        <v>103971</v>
      </c>
      <c r="D68" s="7" t="n">
        <f aca="false">D66+D67</f>
        <v>109859</v>
      </c>
      <c r="E68" s="7" t="n">
        <f aca="false">E66+E67</f>
        <v>107608</v>
      </c>
      <c r="F68" s="7" t="n">
        <f aca="false">F66+F67</f>
        <v>106777</v>
      </c>
      <c r="G68" s="7" t="n">
        <f aca="false">G66+G67</f>
        <v>103176</v>
      </c>
      <c r="H68" s="7" t="n">
        <f aca="false">H66+H67</f>
        <v>101915</v>
      </c>
      <c r="I68" s="7" t="n">
        <f aca="false">I66+I67</f>
        <v>100422</v>
      </c>
      <c r="J68" s="7" t="n">
        <f aca="false">J66+J67</f>
        <v>95335</v>
      </c>
      <c r="K68" s="7" t="n">
        <f aca="false">K66+K67</f>
        <v>89326</v>
      </c>
      <c r="L68" s="7" t="n">
        <f aca="false">L66+L67</f>
        <v>80890</v>
      </c>
      <c r="M68" s="7" t="n">
        <f aca="false">M66+M67</f>
        <v>76802</v>
      </c>
      <c r="N68" s="7" t="n">
        <f aca="false">N66+N67</f>
        <v>70659</v>
      </c>
    </row>
    <row r="69" customFormat="false" ht="17.15" hidden="false" customHeight="false" outlineLevel="0" collapsed="false">
      <c r="A69" s="4" t="s">
        <v>40</v>
      </c>
      <c r="B69" s="20" t="n">
        <v>1279910</v>
      </c>
      <c r="C69" s="20" t="n">
        <v>1348729</v>
      </c>
      <c r="D69" s="20" t="n">
        <v>1487361</v>
      </c>
      <c r="E69" s="20" t="n">
        <v>1486980</v>
      </c>
      <c r="F69" s="20" t="n">
        <v>1496671</v>
      </c>
      <c r="G69" s="20" t="n">
        <v>1452813</v>
      </c>
      <c r="H69" s="20" t="n">
        <v>1451215</v>
      </c>
      <c r="I69" s="20" t="n">
        <v>1450243</v>
      </c>
      <c r="J69" s="20" t="n">
        <v>1415742</v>
      </c>
      <c r="K69" s="20" t="n">
        <v>1365085</v>
      </c>
      <c r="L69" s="20" t="n">
        <v>1244396</v>
      </c>
      <c r="M69" s="20" t="n">
        <v>1184716</v>
      </c>
      <c r="N69" s="20" t="n">
        <v>1095450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110"/>
  </cols>
  <sheetData>
    <row r="1" customFormat="false" ht="17.35" hidden="false" customHeight="false" outlineLevel="0" collapsed="false">
      <c r="A1" s="1" t="s">
        <v>43</v>
      </c>
    </row>
    <row r="3" customFormat="false" ht="48" hidden="false" customHeight="true" outlineLevel="0" collapsed="false">
      <c r="A3" s="22" t="s">
        <v>44</v>
      </c>
      <c r="B3" s="23" t="s">
        <v>45</v>
      </c>
    </row>
    <row r="4" customFormat="false" ht="48" hidden="false" customHeight="true" outlineLevel="0" collapsed="false">
      <c r="A4" s="22" t="s">
        <v>36</v>
      </c>
      <c r="B4" s="24" t="s">
        <v>46</v>
      </c>
    </row>
    <row r="5" customFormat="false" ht="48" hidden="false" customHeight="true" outlineLevel="0" collapsed="false">
      <c r="A5" s="22" t="s">
        <v>47</v>
      </c>
      <c r="B5" s="23" t="s">
        <v>48</v>
      </c>
    </row>
    <row r="6" customFormat="false" ht="48" hidden="false" customHeight="true" outlineLevel="0" collapsed="false">
      <c r="A6" s="25" t="s">
        <v>49</v>
      </c>
      <c r="B6" s="23" t="s">
        <v>50</v>
      </c>
    </row>
    <row r="7" customFormat="false" ht="48" hidden="false" customHeight="true" outlineLevel="0" collapsed="false">
      <c r="A7" s="22" t="s">
        <v>51</v>
      </c>
      <c r="B7" s="23" t="s">
        <v>52</v>
      </c>
    </row>
    <row r="8" customFormat="false" ht="48" hidden="false" customHeight="true" outlineLevel="0" collapsed="false">
      <c r="A8" s="22" t="s">
        <v>53</v>
      </c>
      <c r="B8" s="23" t="s">
        <v>54</v>
      </c>
    </row>
    <row r="9" customFormat="false" ht="48" hidden="false" customHeight="true" outlineLevel="0" collapsed="false">
      <c r="A9" s="22" t="s">
        <v>55</v>
      </c>
      <c r="B9" s="24" t="s">
        <v>56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2026-10-10T15:23:23Z</dcterms:created>
  <dc:creator>openpyxl</dc:creator>
  <dc:description/>
  <dc:language>en-US</dc:language>
  <cp:lastModifiedBy/>
  <dcterms:modified xsi:type="dcterms:W3CDTF">2026-10-10T15:23:23Z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