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설명" sheetId="1" state="visible" r:id="rId3"/>
    <sheet name="유형별_요약" sheetId="2" state="visible" r:id="rId4"/>
    <sheet name="사분면_2027" sheetId="3" state="visible" r:id="rId5"/>
    <sheet name="사분면_2028" sheetId="4" state="visible" r:id="rId6"/>
    <sheet name="검증성능" sheetId="5" state="visible" r:id="rId7"/>
    <sheet name="변수중요도" sheetId="6" state="visible" r:id="rId8"/>
    <sheet name="강건성" sheetId="7" state="visible" r:id="rId9"/>
  </sheets>
  <definedNames>
    <definedName function="false" hidden="true" localSheetId="2" name="_xlnm._FilterDatabase" vbProcedure="false">사분면_2027!$A$1:$S$230</definedName>
    <definedName function="false" hidden="true" localSheetId="3" name="_xlnm._FilterDatabase" vbProcedure="false">사분면_2028!$A$1:$S$230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<sst xmlns="http://schemas.openxmlformats.org/spreadsheetml/2006/main" count="1539" uniqueCount="586">
  <si>
    <r>
      <rPr>
        <b val="true"/>
        <sz val="10"/>
        <rFont val="Noto Sans CJK SC"/>
        <family val="2"/>
      </rPr>
      <t xml:space="preserve">보육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소아의료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년 급감 위험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현재 공백 사분면 </t>
    </r>
    <r>
      <rPr>
        <b val="true"/>
        <sz val="10"/>
        <rFont val="Arial"/>
        <family val="0"/>
        <charset val="1"/>
      </rPr>
      <t xml:space="preserve">(v4)</t>
    </r>
  </si>
  <si>
    <t xml:space="preserve">무엇을 예측했나</t>
  </si>
  <si>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라벨 「공백 위험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최종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」 </t>
    </r>
    <r>
      <rPr>
        <sz val="10"/>
        <rFont val="Arial"/>
        <family val="0"/>
        <charset val="1"/>
      </rPr>
      <t xml:space="preserve">= t→t+3</t>
    </r>
    <r>
      <rPr>
        <sz val="10"/>
        <rFont val="Noto Sans CJK SC"/>
        <family val="2"/>
      </rPr>
      <t xml:space="preserve">년 어린이집 감소율 전국 하위 </t>
    </r>
    <r>
      <rPr>
        <sz val="10"/>
        <rFont val="Arial"/>
        <family val="0"/>
        <charset val="1"/>
      </rPr>
      <t xml:space="preserve">20% </t>
    </r>
    <r>
      <rPr>
        <sz val="10"/>
        <rFont val="Noto Sans CJK SC"/>
        <family val="2"/>
      </rPr>
      <t xml:space="preserve">또는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소아과 감소 </t>
    </r>
    <r>
      <rPr>
        <sz val="10"/>
        <rFont val="Arial"/>
        <family val="0"/>
        <charset val="1"/>
      </rPr>
      <t xml:space="preserve">&amp; 0~5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천명당 소아과 중앙값 미만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즉 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앞으로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년간 빠르게 줄어들 위험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이다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</si>
  <si>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소아과가 이미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곳인 지역은 더 줄 수 없어 이 라벨에서 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안전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으로 나온다 → 현재 공백을 별도 축으로 함께 본다</t>
    </r>
    <r>
      <rPr>
        <sz val="10"/>
        <rFont val="Arial"/>
        <family val="0"/>
        <charset val="1"/>
      </rPr>
      <t xml:space="preserve">.</t>
    </r>
  </si>
  <si>
    <t xml:space="preserve">두 축</t>
  </si>
  <si>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세로축 – 향후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년 급감 위험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랜덤포레스트 위험점수 상위 </t>
    </r>
    <r>
      <rPr>
        <sz val="10"/>
        <rFont val="Arial"/>
        <family val="0"/>
        <charset val="1"/>
      </rPr>
      <t xml:space="preserve">20%(229</t>
    </r>
    <r>
      <rPr>
        <sz val="10"/>
        <rFont val="Noto Sans CJK SC"/>
        <family val="2"/>
      </rPr>
      <t xml:space="preserve">곳 중 </t>
    </r>
    <r>
      <rPr>
        <sz val="10"/>
        <rFont val="Arial"/>
        <family val="0"/>
        <charset val="1"/>
      </rPr>
      <t xml:space="preserve">46</t>
    </r>
    <r>
      <rPr>
        <sz val="10"/>
        <rFont val="Noto Sans CJK SC"/>
        <family val="2"/>
      </rPr>
      <t xml:space="preserve">곳</t>
    </r>
    <r>
      <rPr>
        <sz val="10"/>
        <rFont val="Arial"/>
        <family val="0"/>
        <charset val="1"/>
      </rPr>
      <t xml:space="preserve">) = </t>
    </r>
    <r>
      <rPr>
        <sz val="10"/>
        <rFont val="Noto Sans CJK SC"/>
        <family val="2"/>
      </rPr>
      <t xml:space="preserve">급감 고위험</t>
    </r>
  </si>
  <si>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가로축 – 현재 공백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기준연도 </t>
    </r>
    <r>
      <rPr>
        <sz val="10"/>
        <rFont val="Arial"/>
        <family val="0"/>
        <charset val="1"/>
      </rPr>
      <t xml:space="preserve">t): </t>
    </r>
    <r>
      <rPr>
        <sz val="10"/>
        <rFont val="Noto Sans CJK SC"/>
        <family val="2"/>
      </rPr>
      <t xml:space="preserve">소아과 의원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곳</t>
    </r>
  </si>
  <si>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보육 쪽 현재 공백은 정의하지 않음</t>
    </r>
    <r>
      <rPr>
        <sz val="10"/>
        <rFont val="Arial"/>
        <family val="0"/>
        <charset val="1"/>
      </rPr>
      <t xml:space="preserve">: 0~5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천명당 어린이집</t>
    </r>
    <r>
      <rPr>
        <sz val="10"/>
        <rFont val="Arial"/>
        <family val="0"/>
        <charset val="1"/>
      </rPr>
      <t xml:space="preserve">·0~5</t>
    </r>
    <r>
      <rPr>
        <sz val="10"/>
        <rFont val="Noto Sans CJK SC"/>
        <family val="2"/>
      </rPr>
      <t xml:space="preserve">세 대비 정원 하위 </t>
    </r>
    <r>
      <rPr>
        <sz val="10"/>
        <rFont val="Arial"/>
        <family val="0"/>
        <charset val="1"/>
      </rPr>
      <t xml:space="preserve">20%</t>
    </r>
    <r>
      <rPr>
        <sz val="10"/>
        <rFont val="Noto Sans CJK SC"/>
        <family val="2"/>
      </rPr>
      <t xml:space="preserve">를 시험했더니 강남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서초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송파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해운대처럼 유치원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가정양육 비중이 높은 도시가 대거 걸려 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공백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의 의미와 어긋남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거리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면적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접근성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자료가 있어야 제대로 정의 가능 → 참고 열</t>
    </r>
    <r>
      <rPr>
        <sz val="10"/>
        <rFont val="Arial"/>
        <family val="0"/>
        <charset val="1"/>
      </rPr>
      <t xml:space="preserve">(K)</t>
    </r>
    <r>
      <rPr>
        <sz val="10"/>
        <rFont val="Noto Sans CJK SC"/>
        <family val="2"/>
      </rPr>
      <t xml:space="preserve">로만 표시</t>
    </r>
  </si>
  <si>
    <t xml:space="preserve">네 유형</t>
  </si>
  <si>
    <r>
      <rPr>
        <sz val="10"/>
        <rFont val="Noto Sans CJK SC"/>
        <family val="2"/>
      </rPr>
      <t xml:space="preserve">① 최우선 지원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이미 공백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급감 고위험 → 남은 기반마저 무너지는 중</t>
    </r>
  </si>
  <si>
    <r>
      <rPr>
        <sz val="10"/>
        <rFont val="Noto Sans CJK SC"/>
        <family val="2"/>
      </rPr>
      <t xml:space="preserve">② 예방 대상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아직 유지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급감 고위험 → 곧 공백이 될 곳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거제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김해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</si>
  <si>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③ 구조적 공백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이미 공백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급감 위험 낮음 → 예측 문제가 아니라 공급 자체가 없는 곳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정선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진도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</si>
  <si>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④ 관찰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해당 없음</t>
    </r>
  </si>
  <si>
    <t xml:space="preserve">모델</t>
  </si>
  <si>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랜덤포레스트</t>
    </r>
    <r>
      <rPr>
        <sz val="10"/>
        <rFont val="Arial"/>
        <family val="0"/>
        <charset val="1"/>
      </rPr>
      <t xml:space="preserve">(500</t>
    </r>
    <r>
      <rPr>
        <sz val="10"/>
        <rFont val="Noto Sans CJK SC"/>
        <family val="2"/>
      </rPr>
      <t xml:space="preserve">그루</t>
    </r>
    <r>
      <rPr>
        <sz val="10"/>
        <rFont val="Arial"/>
        <family val="0"/>
        <charset val="1"/>
      </rPr>
      <t xml:space="preserve">, min_samples_leaf=5), </t>
    </r>
    <r>
      <rPr>
        <sz val="10"/>
        <rFont val="Noto Sans CJK SC"/>
        <family val="2"/>
      </rPr>
      <t xml:space="preserve">학습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기준연도 </t>
    </r>
    <r>
      <rPr>
        <sz val="10"/>
        <rFont val="Arial"/>
        <family val="0"/>
        <charset val="1"/>
      </rPr>
      <t xml:space="preserve">2016~2022(</t>
    </r>
    <r>
      <rPr>
        <sz val="10"/>
        <rFont val="Noto Sans CJK SC"/>
        <family val="2"/>
      </rPr>
      <t xml:space="preserve">라벨이 </t>
    </r>
    <r>
      <rPr>
        <sz val="10"/>
        <rFont val="Arial"/>
        <family val="0"/>
        <charset val="1"/>
      </rPr>
      <t xml:space="preserve">2019~2025</t>
    </r>
    <r>
      <rPr>
        <sz val="10"/>
        <rFont val="Noto Sans CJK SC"/>
        <family val="2"/>
      </rPr>
      <t xml:space="preserve">로 확정된 행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</si>
  <si>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변수 </t>
    </r>
    <r>
      <rPr>
        <sz val="10"/>
        <rFont val="Arial"/>
        <family val="0"/>
        <charset val="1"/>
      </rPr>
      <t xml:space="preserve">= v2.1 </t>
    </r>
    <r>
      <rPr>
        <sz val="10"/>
        <rFont val="Noto Sans CJK SC"/>
        <family val="2"/>
      </rPr>
      <t xml:space="preserve">변수 − </t>
    </r>
    <r>
      <rPr>
        <sz val="10"/>
        <rFont val="Arial"/>
        <family val="0"/>
        <charset val="1"/>
      </rPr>
      <t xml:space="preserve">LOCALDATA </t>
    </r>
    <r>
      <rPr>
        <sz val="10"/>
        <rFont val="Noto Sans CJK SC"/>
        <family val="2"/>
      </rPr>
      <t xml:space="preserve">병원 변수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사후정보 위험</t>
    </r>
    <r>
      <rPr>
        <sz val="10"/>
        <rFont val="Arial"/>
        <family val="0"/>
        <charset val="1"/>
      </rPr>
      <t xml:space="preserve">) + </t>
    </r>
    <r>
      <rPr>
        <sz val="10"/>
        <rFont val="Noto Sans CJK SC"/>
        <family val="2"/>
      </rPr>
      <t xml:space="preserve">인구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재정 변수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총인구</t>
    </r>
    <r>
      <rPr>
        <sz val="10"/>
        <rFont val="Arial"/>
        <family val="0"/>
        <charset val="1"/>
      </rPr>
      <t xml:space="preserve">, 65</t>
    </r>
    <r>
      <rPr>
        <sz val="10"/>
        <rFont val="Noto Sans CJK SC"/>
        <family val="2"/>
      </rPr>
      <t xml:space="preserve">세 이상 비율</t>
    </r>
    <r>
      <rPr>
        <sz val="10"/>
        <rFont val="Arial"/>
        <family val="0"/>
        <charset val="1"/>
      </rPr>
      <t xml:space="preserve">, 20~39</t>
    </r>
    <r>
      <rPr>
        <sz val="10"/>
        <rFont val="Noto Sans CJK SC"/>
        <family val="2"/>
      </rPr>
      <t xml:space="preserve">세 여성 비율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지방소멸위험지수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총인구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변화율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재정자립도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</si>
  <si>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· 2027 </t>
    </r>
    <r>
      <rPr>
        <sz val="10"/>
        <rFont val="Noto Sans CJK SC"/>
        <family val="2"/>
      </rPr>
      <t xml:space="preserve">예측 </t>
    </r>
    <r>
      <rPr>
        <sz val="10"/>
        <rFont val="Arial"/>
        <family val="0"/>
        <charset val="1"/>
      </rPr>
      <t xml:space="preserve">= 2024</t>
    </r>
    <r>
      <rPr>
        <sz val="10"/>
        <rFont val="Noto Sans CJK SC"/>
        <family val="2"/>
      </rPr>
      <t xml:space="preserve">년 자료</t>
    </r>
    <r>
      <rPr>
        <sz val="10"/>
        <rFont val="Arial"/>
        <family val="0"/>
        <charset val="1"/>
      </rPr>
      <t xml:space="preserve">, 2028 </t>
    </r>
    <r>
      <rPr>
        <sz val="10"/>
        <rFont val="Noto Sans CJK SC"/>
        <family val="2"/>
      </rPr>
      <t xml:space="preserve">예측 </t>
    </r>
    <r>
      <rPr>
        <sz val="10"/>
        <rFont val="Arial"/>
        <family val="0"/>
        <charset val="1"/>
      </rPr>
      <t xml:space="preserve">= 2025</t>
    </r>
    <r>
      <rPr>
        <sz val="10"/>
        <rFont val="Noto Sans CJK SC"/>
        <family val="2"/>
      </rPr>
      <t xml:space="preserve">년 자료</t>
    </r>
  </si>
  <si>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위험점수는 확률이 아니라 순위용 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라벨이 매년 상대 기준이므로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</si>
  <si>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기준값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파란 글씨는 바꿔 볼 수 있음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</si>
  <si>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급감 고위험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위험순위 상위</t>
    </r>
  </si>
  <si>
    <r>
      <rPr>
        <sz val="10"/>
        <rFont val="Noto Sans CJK SC"/>
        <family val="2"/>
      </rPr>
      <t xml:space="preserve">보육 공백 </t>
    </r>
    <r>
      <rPr>
        <sz val="10"/>
        <rFont val="Arial"/>
        <family val="0"/>
        <charset val="1"/>
      </rPr>
      <t xml:space="preserve">= 0~5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천명당 어린이집 하위 백분위</t>
    </r>
  </si>
  <si>
    <t xml:space="preserve">유형</t>
  </si>
  <si>
    <r>
      <rPr>
        <b val="true"/>
        <sz val="10"/>
        <rFont val="Arial"/>
        <family val="0"/>
        <charset val="1"/>
      </rPr>
      <t xml:space="preserve">2027 </t>
    </r>
    <r>
      <rPr>
        <b val="true"/>
        <sz val="10"/>
        <rFont val="Noto Sans CJK SC"/>
        <family val="2"/>
      </rPr>
      <t xml:space="preserve">지역 수</t>
    </r>
  </si>
  <si>
    <r>
      <rPr>
        <b val="true"/>
        <sz val="10"/>
        <rFont val="Arial"/>
        <family val="0"/>
        <charset val="1"/>
      </rPr>
      <t xml:space="preserve">2028 </t>
    </r>
    <r>
      <rPr>
        <b val="true"/>
        <sz val="10"/>
        <rFont val="Noto Sans CJK SC"/>
        <family val="2"/>
      </rPr>
      <t xml:space="preserve">지역 수</t>
    </r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</si>
  <si>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년 연속 해당 지역 수</t>
    </r>
  </si>
  <si>
    <t xml:space="preserve">의미</t>
  </si>
  <si>
    <t xml:space="preserve">① 최우선 지원</t>
  </si>
  <si>
    <t xml:space="preserve">소아과가 이미 없는데 보육 기반까지 빠르게 줄어드는 곳</t>
  </si>
  <si>
    <t xml:space="preserve">② 예방 대상</t>
  </si>
  <si>
    <r>
      <rPr>
        <sz val="10"/>
        <rFont val="Noto Sans CJK SC"/>
        <family val="2"/>
      </rPr>
      <t xml:space="preserve">지금은 유지되지만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년 내 급감 위험이 큰 곳</t>
    </r>
  </si>
  <si>
    <t xml:space="preserve">③ 구조적 공백</t>
  </si>
  <si>
    <r>
      <rPr>
        <sz val="10"/>
        <rFont val="Noto Sans CJK SC"/>
        <family val="2"/>
      </rPr>
      <t xml:space="preserve">이미 공백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더 줄 것이 없어 급감 위험은 낮음 – 신규 공급 대책 필요</t>
    </r>
  </si>
  <si>
    <t xml:space="preserve">④ 관찰</t>
  </si>
  <si>
    <r>
      <rPr>
        <sz val="10"/>
        <rFont val="Noto Sans CJK SC"/>
        <family val="2"/>
      </rPr>
      <t xml:space="preserve">현재 공백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급감 위험 모두 낮음</t>
    </r>
  </si>
  <si>
    <t xml:space="preserve">합계</t>
  </si>
  <si>
    <t xml:space="preserve">시군구코드</t>
  </si>
  <si>
    <t xml:space="preserve">시도</t>
  </si>
  <si>
    <t xml:space="preserve">시군구</t>
  </si>
  <si>
    <t xml:space="preserve">자료 기준연도</t>
  </si>
  <si>
    <t xml:space="preserve">예측연도</t>
  </si>
  <si>
    <r>
      <rPr>
        <b val="true"/>
        <sz val="10"/>
        <color rgb="FFFFFFFF"/>
        <rFont val="Arial"/>
        <family val="0"/>
        <charset val="1"/>
      </rPr>
      <t xml:space="preserve">0~5</t>
    </r>
    <r>
      <rPr>
        <b val="true"/>
        <sz val="10"/>
        <color rgb="FFFFFFFF"/>
        <rFont val="Noto Sans CJK SC"/>
        <family val="2"/>
      </rPr>
      <t xml:space="preserve">세 인구</t>
    </r>
  </si>
  <si>
    <t xml:space="preserve">어린이집 수</t>
  </si>
  <si>
    <r>
      <rPr>
        <b val="true"/>
        <sz val="10"/>
        <color rgb="FFFFFFFF"/>
        <rFont val="Arial"/>
        <family val="0"/>
        <charset val="1"/>
      </rPr>
      <t xml:space="preserve">0~5</t>
    </r>
    <r>
      <rPr>
        <b val="true"/>
        <sz val="10"/>
        <color rgb="FFFFFFFF"/>
        <rFont val="Noto Sans CJK SC"/>
        <family val="2"/>
      </rPr>
      <t xml:space="preserve">세 </t>
    </r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Noto Sans CJK SC"/>
        <family val="2"/>
      </rPr>
      <t xml:space="preserve">천명당 어린이집</t>
    </r>
  </si>
  <si>
    <t xml:space="preserve">소아과 의원 수</t>
  </si>
  <si>
    <r>
      <rPr>
        <b val="true"/>
        <sz val="10"/>
        <color rgb="FFFFFFFF"/>
        <rFont val="Noto Sans CJK SC"/>
        <family val="2"/>
      </rPr>
      <t xml:space="preserve">소아청소년과 전문의 수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병원 포함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</si>
  <si>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참고</t>
    </r>
    <r>
      <rPr>
        <b val="true"/>
        <sz val="10"/>
        <color rgb="FFFFFFFF"/>
        <rFont val="Arial"/>
        <family val="0"/>
        <charset val="1"/>
      </rPr>
      <t xml:space="preserve">) </t>
    </r>
    <r>
      <rPr>
        <b val="true"/>
        <sz val="10"/>
        <color rgb="FFFFFFFF"/>
        <rFont val="Noto Sans CJK SC"/>
        <family val="2"/>
      </rPr>
      <t xml:space="preserve">보육 지표 하위</t>
    </r>
    <r>
      <rPr>
        <b val="true"/>
        <sz val="10"/>
        <color rgb="FFFFFFFF"/>
        <rFont val="Arial"/>
        <family val="0"/>
        <charset val="1"/>
      </rPr>
      <t xml:space="preserve">20%</t>
    </r>
  </si>
  <si>
    <r>
      <rPr>
        <b val="true"/>
        <sz val="10"/>
        <color rgb="FFFFFFFF"/>
        <rFont val="Noto Sans CJK SC"/>
        <family val="2"/>
      </rPr>
      <t xml:space="preserve">소아과 공백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의원 </t>
    </r>
    <r>
      <rPr>
        <b val="true"/>
        <sz val="10"/>
        <color rgb="FFFFFFFF"/>
        <rFont val="Arial"/>
        <family val="0"/>
        <charset val="1"/>
      </rPr>
      <t xml:space="preserve">0</t>
    </r>
    <r>
      <rPr>
        <b val="true"/>
        <sz val="10"/>
        <color rgb="FFFFFFFF"/>
        <rFont val="Noto Sans CJK SC"/>
        <family val="2"/>
      </rPr>
      <t xml:space="preserve">곳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</si>
  <si>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현재 공백</t>
  </si>
  <si>
    <t xml:space="preserve">위험점수</t>
  </si>
  <si>
    <t xml:space="preserve">위험순위</t>
  </si>
  <si>
    <t xml:space="preserve">급감 고위험</t>
  </si>
  <si>
    <r>
      <rPr>
        <b val="true"/>
        <sz val="10"/>
        <color rgb="FFFFFFFF"/>
        <rFont val="Noto Sans CJK SC"/>
        <family val="2"/>
      </rPr>
      <t xml:space="preserve">위험점수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시도 변수 제외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</si>
  <si>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시도변수 제외 순위</t>
  </si>
  <si>
    <t xml:space="preserve">48310</t>
  </si>
  <si>
    <t xml:space="preserve">경상남도</t>
  </si>
  <si>
    <t xml:space="preserve">거제시</t>
  </si>
  <si>
    <t xml:space="preserve">48120</t>
  </si>
  <si>
    <t xml:space="preserve">창원시</t>
  </si>
  <si>
    <t xml:space="preserve">48250</t>
  </si>
  <si>
    <t xml:space="preserve">김해시</t>
  </si>
  <si>
    <t xml:space="preserve">48330</t>
  </si>
  <si>
    <t xml:space="preserve">양산시</t>
  </si>
  <si>
    <t xml:space="preserve">44130</t>
  </si>
  <si>
    <t xml:space="preserve">충청남도</t>
  </si>
  <si>
    <t xml:space="preserve">천안시</t>
  </si>
  <si>
    <t xml:space="preserve">41250</t>
  </si>
  <si>
    <t xml:space="preserve">경기도</t>
  </si>
  <si>
    <t xml:space="preserve">동두천시</t>
  </si>
  <si>
    <t xml:space="preserve">41410</t>
  </si>
  <si>
    <t xml:space="preserve">군포시</t>
  </si>
  <si>
    <t xml:space="preserve">28245</t>
  </si>
  <si>
    <t xml:space="preserve">인천광역시</t>
  </si>
  <si>
    <t xml:space="preserve">계양구</t>
  </si>
  <si>
    <t xml:space="preserve">48220</t>
  </si>
  <si>
    <t xml:space="preserve">통영시</t>
  </si>
  <si>
    <t xml:space="preserve">47850</t>
  </si>
  <si>
    <t xml:space="preserve">경상북도</t>
  </si>
  <si>
    <t xml:space="preserve">칠곡군</t>
  </si>
  <si>
    <t xml:space="preserve">26710</t>
  </si>
  <si>
    <t xml:space="preserve">부산광역시</t>
  </si>
  <si>
    <t xml:space="preserve">기장군</t>
  </si>
  <si>
    <t xml:space="preserve">48730</t>
  </si>
  <si>
    <t xml:space="preserve">함안군</t>
  </si>
  <si>
    <t xml:space="preserve">47190</t>
  </si>
  <si>
    <t xml:space="preserve">구미시</t>
  </si>
  <si>
    <t xml:space="preserve">48240</t>
  </si>
  <si>
    <t xml:space="preserve">사천시</t>
  </si>
  <si>
    <t xml:space="preserve">26530</t>
  </si>
  <si>
    <t xml:space="preserve">사상구</t>
  </si>
  <si>
    <t xml:space="preserve">46110</t>
  </si>
  <si>
    <t xml:space="preserve">전라남도</t>
  </si>
  <si>
    <t xml:space="preserve">목포시</t>
  </si>
  <si>
    <t xml:space="preserve">29140</t>
  </si>
  <si>
    <t xml:space="preserve">광주광역시</t>
  </si>
  <si>
    <t xml:space="preserve">서구</t>
  </si>
  <si>
    <t xml:space="preserve">48820</t>
  </si>
  <si>
    <t xml:space="preserve">고성군</t>
  </si>
  <si>
    <t xml:space="preserve">28200</t>
  </si>
  <si>
    <t xml:space="preserve">남동구</t>
  </si>
  <si>
    <t xml:space="preserve">29200</t>
  </si>
  <si>
    <t xml:space="preserve">광산구</t>
  </si>
  <si>
    <t xml:space="preserve">26380</t>
  </si>
  <si>
    <t xml:space="preserve">사하구</t>
  </si>
  <si>
    <t xml:space="preserve">26110</t>
  </si>
  <si>
    <t xml:space="preserve">중구</t>
  </si>
  <si>
    <t xml:space="preserve">41650</t>
  </si>
  <si>
    <t xml:space="preserve">포천시</t>
  </si>
  <si>
    <t xml:space="preserve">30230</t>
  </si>
  <si>
    <t xml:space="preserve">대전광역시</t>
  </si>
  <si>
    <t xml:space="preserve">대덕구</t>
  </si>
  <si>
    <t xml:space="preserve">44270</t>
  </si>
  <si>
    <t xml:space="preserve">당진시</t>
  </si>
  <si>
    <t xml:space="preserve">31170</t>
  </si>
  <si>
    <t xml:space="preserve">울산광역시</t>
  </si>
  <si>
    <t xml:space="preserve">동구</t>
  </si>
  <si>
    <t xml:space="preserve">48170</t>
  </si>
  <si>
    <t xml:space="preserve">진주시</t>
  </si>
  <si>
    <t xml:space="preserve">48270</t>
  </si>
  <si>
    <t xml:space="preserve">밀양시</t>
  </si>
  <si>
    <t xml:space="preserve">11545</t>
  </si>
  <si>
    <t xml:space="preserve">서울특별시</t>
  </si>
  <si>
    <t xml:space="preserve">금천구</t>
  </si>
  <si>
    <t xml:space="preserve">44150</t>
  </si>
  <si>
    <t xml:space="preserve">공주시</t>
  </si>
  <si>
    <t xml:space="preserve">44790</t>
  </si>
  <si>
    <t xml:space="preserve">청양군</t>
  </si>
  <si>
    <t xml:space="preserve">44180</t>
  </si>
  <si>
    <t xml:space="preserve">보령시</t>
  </si>
  <si>
    <t xml:space="preserve">46790</t>
  </si>
  <si>
    <t xml:space="preserve">화순군</t>
  </si>
  <si>
    <t xml:space="preserve">11320</t>
  </si>
  <si>
    <t xml:space="preserve">도봉구</t>
  </si>
  <si>
    <t xml:space="preserve">48880</t>
  </si>
  <si>
    <t xml:space="preserve">거창군</t>
  </si>
  <si>
    <t xml:space="preserve">27230</t>
  </si>
  <si>
    <t xml:space="preserve">대구광역시</t>
  </si>
  <si>
    <t xml:space="preserve">북구</t>
  </si>
  <si>
    <t xml:space="preserve">44200</t>
  </si>
  <si>
    <t xml:space="preserve">아산시</t>
  </si>
  <si>
    <t xml:space="preserve">47280</t>
  </si>
  <si>
    <t xml:space="preserve">문경시</t>
  </si>
  <si>
    <t xml:space="preserve">41310</t>
  </si>
  <si>
    <t xml:space="preserve">구리시</t>
  </si>
  <si>
    <t xml:space="preserve">41820</t>
  </si>
  <si>
    <t xml:space="preserve">가평군</t>
  </si>
  <si>
    <t xml:space="preserve">47250</t>
  </si>
  <si>
    <t xml:space="preserve">상주시</t>
  </si>
  <si>
    <t xml:space="preserve">11305</t>
  </si>
  <si>
    <t xml:space="preserve">강북구</t>
  </si>
  <si>
    <t xml:space="preserve">28140</t>
  </si>
  <si>
    <t xml:space="preserve">47210</t>
  </si>
  <si>
    <t xml:space="preserve">영주시</t>
  </si>
  <si>
    <t xml:space="preserve">52110</t>
  </si>
  <si>
    <t xml:space="preserve">전북특별자치도</t>
  </si>
  <si>
    <t xml:space="preserve">전주시</t>
  </si>
  <si>
    <t xml:space="preserve">30110</t>
  </si>
  <si>
    <t xml:space="preserve">11620</t>
  </si>
  <si>
    <t xml:space="preserve">관악구</t>
  </si>
  <si>
    <t xml:space="preserve">52190</t>
  </si>
  <si>
    <t xml:space="preserve">남원시</t>
  </si>
  <si>
    <t xml:space="preserve">48740</t>
  </si>
  <si>
    <t xml:space="preserve">창녕군</t>
  </si>
  <si>
    <t xml:space="preserve">41190</t>
  </si>
  <si>
    <t xml:space="preserve">부천시</t>
  </si>
  <si>
    <t xml:space="preserve">30170</t>
  </si>
  <si>
    <t xml:space="preserve">47110</t>
  </si>
  <si>
    <t xml:space="preserve">포항시</t>
  </si>
  <si>
    <t xml:space="preserve">11350</t>
  </si>
  <si>
    <t xml:space="preserve">노원구</t>
  </si>
  <si>
    <t xml:space="preserve">41800</t>
  </si>
  <si>
    <t xml:space="preserve">연천군</t>
  </si>
  <si>
    <t xml:space="preserve">47150</t>
  </si>
  <si>
    <t xml:space="preserve">김천시</t>
  </si>
  <si>
    <t xml:space="preserve">47130</t>
  </si>
  <si>
    <t xml:space="preserve">경주시</t>
  </si>
  <si>
    <t xml:space="preserve">31200</t>
  </si>
  <si>
    <t xml:space="preserve">48850</t>
  </si>
  <si>
    <t xml:space="preserve">하동군</t>
  </si>
  <si>
    <t xml:space="preserve">44250</t>
  </si>
  <si>
    <t xml:space="preserve">계룡시</t>
  </si>
  <si>
    <t xml:space="preserve">26200</t>
  </si>
  <si>
    <t xml:space="preserve">영도구</t>
  </si>
  <si>
    <t xml:space="preserve">26440</t>
  </si>
  <si>
    <t xml:space="preserve">강서구</t>
  </si>
  <si>
    <t xml:space="preserve">30140</t>
  </si>
  <si>
    <t xml:space="preserve">41670</t>
  </si>
  <si>
    <t xml:space="preserve">여주시</t>
  </si>
  <si>
    <t xml:space="preserve">26410</t>
  </si>
  <si>
    <t xml:space="preserve">금정구</t>
  </si>
  <si>
    <t xml:space="preserve">44230</t>
  </si>
  <si>
    <t xml:space="preserve">논산시</t>
  </si>
  <si>
    <t xml:space="preserve">26320</t>
  </si>
  <si>
    <t xml:space="preserve">41210</t>
  </si>
  <si>
    <t xml:space="preserve">광명시</t>
  </si>
  <si>
    <t xml:space="preserve">44210</t>
  </si>
  <si>
    <t xml:space="preserve">서산시</t>
  </si>
  <si>
    <t xml:space="preserve">52800</t>
  </si>
  <si>
    <t xml:space="preserve">부안군</t>
  </si>
  <si>
    <t xml:space="preserve">43730</t>
  </si>
  <si>
    <t xml:space="preserve">충청북도</t>
  </si>
  <si>
    <t xml:space="preserve">옥천군</t>
  </si>
  <si>
    <t xml:space="preserve">47170</t>
  </si>
  <si>
    <t xml:space="preserve">안동시</t>
  </si>
  <si>
    <t xml:space="preserve">51170</t>
  </si>
  <si>
    <t xml:space="preserve">강원특별자치도</t>
  </si>
  <si>
    <t xml:space="preserve">동해시</t>
  </si>
  <si>
    <t xml:space="preserve">47830</t>
  </si>
  <si>
    <t xml:space="preserve">고령군</t>
  </si>
  <si>
    <t xml:space="preserve">28710</t>
  </si>
  <si>
    <t xml:space="preserve">강화군</t>
  </si>
  <si>
    <t xml:space="preserve">44800</t>
  </si>
  <si>
    <t xml:space="preserve">홍성군</t>
  </si>
  <si>
    <t xml:space="preserve">52180</t>
  </si>
  <si>
    <t xml:space="preserve">정읍시</t>
  </si>
  <si>
    <t xml:space="preserve">11470</t>
  </si>
  <si>
    <t xml:space="preserve">양천구</t>
  </si>
  <si>
    <t xml:space="preserve">48870</t>
  </si>
  <si>
    <t xml:space="preserve">함양군</t>
  </si>
  <si>
    <t xml:space="preserve">27170</t>
  </si>
  <si>
    <t xml:space="preserve">51210</t>
  </si>
  <si>
    <t xml:space="preserve">속초시</t>
  </si>
  <si>
    <t xml:space="preserve">51110</t>
  </si>
  <si>
    <t xml:space="preserve">춘천시</t>
  </si>
  <si>
    <t xml:space="preserve">46170</t>
  </si>
  <si>
    <t xml:space="preserve">나주시</t>
  </si>
  <si>
    <t xml:space="preserve">31140</t>
  </si>
  <si>
    <t xml:space="preserve">남구</t>
  </si>
  <si>
    <t xml:space="preserve">11530</t>
  </si>
  <si>
    <t xml:space="preserve">구로구</t>
  </si>
  <si>
    <t xml:space="preserve">52130</t>
  </si>
  <si>
    <t xml:space="preserve">군산시</t>
  </si>
  <si>
    <t xml:space="preserve">47770</t>
  </si>
  <si>
    <t xml:space="preserve">영덕군</t>
  </si>
  <si>
    <t xml:space="preserve">47230</t>
  </si>
  <si>
    <t xml:space="preserve">영천시</t>
  </si>
  <si>
    <t xml:space="preserve">51230</t>
  </si>
  <si>
    <t xml:space="preserve">삼척시</t>
  </si>
  <si>
    <t xml:space="preserve">46150</t>
  </si>
  <si>
    <t xml:space="preserve">순천시</t>
  </si>
  <si>
    <t xml:space="preserve">41500</t>
  </si>
  <si>
    <t xml:space="preserve">이천시</t>
  </si>
  <si>
    <t xml:space="preserve">26350</t>
  </si>
  <si>
    <t xml:space="preserve">해운대구</t>
  </si>
  <si>
    <t xml:space="preserve">52210</t>
  </si>
  <si>
    <t xml:space="preserve">김제시</t>
  </si>
  <si>
    <t xml:space="preserve">41360</t>
  </si>
  <si>
    <t xml:space="preserve">남양주시</t>
  </si>
  <si>
    <t xml:space="preserve">41270</t>
  </si>
  <si>
    <t xml:space="preserve">안산시</t>
  </si>
  <si>
    <t xml:space="preserve">51720</t>
  </si>
  <si>
    <t xml:space="preserve">홍천군</t>
  </si>
  <si>
    <t xml:space="preserve">52140</t>
  </si>
  <si>
    <t xml:space="preserve">익산시</t>
  </si>
  <si>
    <t xml:space="preserve">11215</t>
  </si>
  <si>
    <t xml:space="preserve">광진구</t>
  </si>
  <si>
    <t xml:space="preserve">48840</t>
  </si>
  <si>
    <t xml:space="preserve">남해군</t>
  </si>
  <si>
    <t xml:space="preserve">46230</t>
  </si>
  <si>
    <t xml:space="preserve">광양시</t>
  </si>
  <si>
    <t xml:space="preserve">51790</t>
  </si>
  <si>
    <t xml:space="preserve">화천군</t>
  </si>
  <si>
    <t xml:space="preserve">41150</t>
  </si>
  <si>
    <t xml:space="preserve">의정부시</t>
  </si>
  <si>
    <t xml:space="preserve">41390</t>
  </si>
  <si>
    <t xml:space="preserve">시흥시</t>
  </si>
  <si>
    <t xml:space="preserve">43770</t>
  </si>
  <si>
    <t xml:space="preserve">음성군</t>
  </si>
  <si>
    <t xml:space="preserve">52710</t>
  </si>
  <si>
    <t xml:space="preserve">완주군</t>
  </si>
  <si>
    <t xml:space="preserve">26290</t>
  </si>
  <si>
    <t xml:space="preserve">51820</t>
  </si>
  <si>
    <t xml:space="preserve">47920</t>
  </si>
  <si>
    <t xml:space="preserve">봉화군</t>
  </si>
  <si>
    <t xml:space="preserve">27710</t>
  </si>
  <si>
    <t xml:space="preserve">달성군</t>
  </si>
  <si>
    <t xml:space="preserve">47900</t>
  </si>
  <si>
    <t xml:space="preserve">예천군</t>
  </si>
  <si>
    <t xml:space="preserve">26140</t>
  </si>
  <si>
    <t xml:space="preserve">43745</t>
  </si>
  <si>
    <t xml:space="preserve">증평군</t>
  </si>
  <si>
    <t xml:space="preserve">11500</t>
  </si>
  <si>
    <t xml:space="preserve">41550</t>
  </si>
  <si>
    <t xml:space="preserve">안성시</t>
  </si>
  <si>
    <t xml:space="preserve">29170</t>
  </si>
  <si>
    <t xml:space="preserve">43110</t>
  </si>
  <si>
    <t xml:space="preserve">청주시</t>
  </si>
  <si>
    <t xml:space="preserve">29155</t>
  </si>
  <si>
    <t xml:space="preserve">41830</t>
  </si>
  <si>
    <t xml:space="preserve">양평군</t>
  </si>
  <si>
    <t xml:space="preserve">27140</t>
  </si>
  <si>
    <t xml:space="preserve">41110</t>
  </si>
  <si>
    <t xml:space="preserve">수원시</t>
  </si>
  <si>
    <t xml:space="preserve">51830</t>
  </si>
  <si>
    <t xml:space="preserve">양양군</t>
  </si>
  <si>
    <t xml:space="preserve">28720</t>
  </si>
  <si>
    <t xml:space="preserve">옹진군</t>
  </si>
  <si>
    <t xml:space="preserve">51190</t>
  </si>
  <si>
    <t xml:space="preserve">태백시</t>
  </si>
  <si>
    <t xml:space="preserve">47760</t>
  </si>
  <si>
    <t xml:space="preserve">영양군</t>
  </si>
  <si>
    <t xml:space="preserve">48860</t>
  </si>
  <si>
    <t xml:space="preserve">산청군</t>
  </si>
  <si>
    <t xml:space="preserve">47290</t>
  </si>
  <si>
    <t xml:space="preserve">경산시</t>
  </si>
  <si>
    <t xml:space="preserve">27110</t>
  </si>
  <si>
    <t xml:space="preserve">31110</t>
  </si>
  <si>
    <t xml:space="preserve">47840</t>
  </si>
  <si>
    <t xml:space="preserve">성주군</t>
  </si>
  <si>
    <t xml:space="preserve">11230</t>
  </si>
  <si>
    <t xml:space="preserve">동대문구</t>
  </si>
  <si>
    <t xml:space="preserve">47940</t>
  </si>
  <si>
    <t xml:space="preserve">울릉군</t>
  </si>
  <si>
    <t xml:space="preserve">46780</t>
  </si>
  <si>
    <t xml:space="preserve">보성군</t>
  </si>
  <si>
    <t xml:space="preserve">43150</t>
  </si>
  <si>
    <t xml:space="preserve">제천시</t>
  </si>
  <si>
    <t xml:space="preserve">46730</t>
  </si>
  <si>
    <t xml:space="preserve">구례군</t>
  </si>
  <si>
    <t xml:space="preserve">26500</t>
  </si>
  <si>
    <t xml:space="preserve">수영구</t>
  </si>
  <si>
    <t xml:space="preserve">41370</t>
  </si>
  <si>
    <t xml:space="preserve">오산시</t>
  </si>
  <si>
    <t xml:space="preserve">41570</t>
  </si>
  <si>
    <t xml:space="preserve">김포시</t>
  </si>
  <si>
    <t xml:space="preserve">41590</t>
  </si>
  <si>
    <t xml:space="preserve">화성시</t>
  </si>
  <si>
    <t xml:space="preserve">26470</t>
  </si>
  <si>
    <t xml:space="preserve">연제구</t>
  </si>
  <si>
    <t xml:space="preserve">41610</t>
  </si>
  <si>
    <t xml:space="preserve">광주시</t>
  </si>
  <si>
    <t xml:space="preserve">27290</t>
  </si>
  <si>
    <t xml:space="preserve">달서구</t>
  </si>
  <si>
    <t xml:space="preserve">31710</t>
  </si>
  <si>
    <t xml:space="preserve">울주군</t>
  </si>
  <si>
    <t xml:space="preserve">46870</t>
  </si>
  <si>
    <t xml:space="preserve">영광군</t>
  </si>
  <si>
    <t xml:space="preserve">51760</t>
  </si>
  <si>
    <t xml:space="preserve">평창군</t>
  </si>
  <si>
    <t xml:space="preserve">11260</t>
  </si>
  <si>
    <t xml:space="preserve">중랑구</t>
  </si>
  <si>
    <t xml:space="preserve">41430</t>
  </si>
  <si>
    <t xml:space="preserve">의왕시</t>
  </si>
  <si>
    <t xml:space="preserve">50110</t>
  </si>
  <si>
    <t xml:space="preserve">제주특별자치도</t>
  </si>
  <si>
    <t xml:space="preserve">제주시</t>
  </si>
  <si>
    <t xml:space="preserve">41460</t>
  </si>
  <si>
    <t xml:space="preserve">용인시</t>
  </si>
  <si>
    <t xml:space="preserve">43130</t>
  </si>
  <si>
    <t xml:space="preserve">충주시</t>
  </si>
  <si>
    <t xml:space="preserve">11170</t>
  </si>
  <si>
    <t xml:space="preserve">용산구</t>
  </si>
  <si>
    <t xml:space="preserve">26170</t>
  </si>
  <si>
    <t xml:space="preserve">28237</t>
  </si>
  <si>
    <t xml:space="preserve">부평구</t>
  </si>
  <si>
    <t xml:space="preserve">27720</t>
  </si>
  <si>
    <t xml:space="preserve">군위군</t>
  </si>
  <si>
    <t xml:space="preserve">44810</t>
  </si>
  <si>
    <t xml:space="preserve">예산군</t>
  </si>
  <si>
    <t xml:space="preserve">43720</t>
  </si>
  <si>
    <t xml:space="preserve">보은군</t>
  </si>
  <si>
    <t xml:space="preserve">46130</t>
  </si>
  <si>
    <t xml:space="preserve">여수시</t>
  </si>
  <si>
    <t xml:space="preserve">28110</t>
  </si>
  <si>
    <t xml:space="preserve">51800</t>
  </si>
  <si>
    <t xml:space="preserve">양구군</t>
  </si>
  <si>
    <t xml:space="preserve">27200</t>
  </si>
  <si>
    <t xml:space="preserve">11380</t>
  </si>
  <si>
    <t xml:space="preserve">은평구</t>
  </si>
  <si>
    <t xml:space="preserve">47820</t>
  </si>
  <si>
    <t xml:space="preserve">청도군</t>
  </si>
  <si>
    <t xml:space="preserve">48720</t>
  </si>
  <si>
    <t xml:space="preserve">의령군</t>
  </si>
  <si>
    <t xml:space="preserve">48890</t>
  </si>
  <si>
    <t xml:space="preserve">합천군</t>
  </si>
  <si>
    <t xml:space="preserve">43740</t>
  </si>
  <si>
    <t xml:space="preserve">영동군</t>
  </si>
  <si>
    <t xml:space="preserve">28260</t>
  </si>
  <si>
    <t xml:space="preserve">44760</t>
  </si>
  <si>
    <t xml:space="preserve">부여군</t>
  </si>
  <si>
    <t xml:space="preserve">46710</t>
  </si>
  <si>
    <t xml:space="preserve">담양군</t>
  </si>
  <si>
    <t xml:space="preserve">44710</t>
  </si>
  <si>
    <t xml:space="preserve">금산군</t>
  </si>
  <si>
    <t xml:space="preserve">52730</t>
  </si>
  <si>
    <t xml:space="preserve">무주군</t>
  </si>
  <si>
    <t xml:space="preserve">46910</t>
  </si>
  <si>
    <t xml:space="preserve">신안군</t>
  </si>
  <si>
    <t xml:space="preserve">51780</t>
  </si>
  <si>
    <t xml:space="preserve">철원군</t>
  </si>
  <si>
    <t xml:space="preserve">51150</t>
  </si>
  <si>
    <t xml:space="preserve">강릉시</t>
  </si>
  <si>
    <t xml:space="preserve">46720</t>
  </si>
  <si>
    <t xml:space="preserve">곡성군</t>
  </si>
  <si>
    <t xml:space="preserve">51130</t>
  </si>
  <si>
    <t xml:space="preserve">원주시</t>
  </si>
  <si>
    <t xml:space="preserve">41280</t>
  </si>
  <si>
    <t xml:space="preserve">고양시</t>
  </si>
  <si>
    <t xml:space="preserve">50130</t>
  </si>
  <si>
    <t xml:space="preserve">서귀포시</t>
  </si>
  <si>
    <t xml:space="preserve">29110</t>
  </si>
  <si>
    <t xml:space="preserve">46840</t>
  </si>
  <si>
    <t xml:space="preserve">무안군</t>
  </si>
  <si>
    <t xml:space="preserve">51730</t>
  </si>
  <si>
    <t xml:space="preserve">횡성군</t>
  </si>
  <si>
    <t xml:space="preserve">41130</t>
  </si>
  <si>
    <t xml:space="preserve">성남시</t>
  </si>
  <si>
    <t xml:space="preserve">30200</t>
  </si>
  <si>
    <t xml:space="preserve">유성구</t>
  </si>
  <si>
    <t xml:space="preserve">46880</t>
  </si>
  <si>
    <t xml:space="preserve">장성군</t>
  </si>
  <si>
    <t xml:space="preserve">47930</t>
  </si>
  <si>
    <t xml:space="preserve">울진군</t>
  </si>
  <si>
    <t xml:space="preserve">47750</t>
  </si>
  <si>
    <t xml:space="preserve">청송군</t>
  </si>
  <si>
    <t xml:space="preserve">11110</t>
  </si>
  <si>
    <t xml:space="preserve">종로구</t>
  </si>
  <si>
    <t xml:space="preserve">11140</t>
  </si>
  <si>
    <t xml:space="preserve">11410</t>
  </si>
  <si>
    <t xml:space="preserve">서대문구</t>
  </si>
  <si>
    <t xml:space="preserve">28177</t>
  </si>
  <si>
    <t xml:space="preserve">미추홀구</t>
  </si>
  <si>
    <t xml:space="preserve">26260</t>
  </si>
  <si>
    <t xml:space="preserve">동래구</t>
  </si>
  <si>
    <t xml:space="preserve">51750</t>
  </si>
  <si>
    <t xml:space="preserve">영월군</t>
  </si>
  <si>
    <t xml:space="preserve">52740</t>
  </si>
  <si>
    <t xml:space="preserve">장수군</t>
  </si>
  <si>
    <t xml:space="preserve">46830</t>
  </si>
  <si>
    <t xml:space="preserve">영암군</t>
  </si>
  <si>
    <t xml:space="preserve">43750</t>
  </si>
  <si>
    <t xml:space="preserve">진천군</t>
  </si>
  <si>
    <t xml:space="preserve">52770</t>
  </si>
  <si>
    <t xml:space="preserve">순창군</t>
  </si>
  <si>
    <t xml:space="preserve">11440</t>
  </si>
  <si>
    <t xml:space="preserve">마포구</t>
  </si>
  <si>
    <t xml:space="preserve">46810</t>
  </si>
  <si>
    <t xml:space="preserve">강진군</t>
  </si>
  <si>
    <t xml:space="preserve">41290</t>
  </si>
  <si>
    <t xml:space="preserve">과천시</t>
  </si>
  <si>
    <t xml:space="preserve">44825</t>
  </si>
  <si>
    <t xml:space="preserve">태안군</t>
  </si>
  <si>
    <t xml:space="preserve">27260</t>
  </si>
  <si>
    <t xml:space="preserve">수성구</t>
  </si>
  <si>
    <t xml:space="preserve">44770</t>
  </si>
  <si>
    <t xml:space="preserve">서천군</t>
  </si>
  <si>
    <t xml:space="preserve">46890</t>
  </si>
  <si>
    <t xml:space="preserve">완도군</t>
  </si>
  <si>
    <t xml:space="preserve">36110</t>
  </si>
  <si>
    <t xml:space="preserve">세종특별자치시</t>
  </si>
  <si>
    <t xml:space="preserve">26230</t>
  </si>
  <si>
    <t xml:space="preserve">부산진구</t>
  </si>
  <si>
    <t xml:space="preserve">52720</t>
  </si>
  <si>
    <t xml:space="preserve">진안군</t>
  </si>
  <si>
    <t xml:space="preserve">46820</t>
  </si>
  <si>
    <t xml:space="preserve">해남군</t>
  </si>
  <si>
    <t xml:space="preserve">43760</t>
  </si>
  <si>
    <t xml:space="preserve">괴산군</t>
  </si>
  <si>
    <t xml:space="preserve">41450</t>
  </si>
  <si>
    <t xml:space="preserve">하남시</t>
  </si>
  <si>
    <t xml:space="preserve">11200</t>
  </si>
  <si>
    <t xml:space="preserve">성동구</t>
  </si>
  <si>
    <t xml:space="preserve">11590</t>
  </si>
  <si>
    <t xml:space="preserve">동작구</t>
  </si>
  <si>
    <t xml:space="preserve">11560</t>
  </si>
  <si>
    <t xml:space="preserve">영등포구</t>
  </si>
  <si>
    <t xml:space="preserve">11740</t>
  </si>
  <si>
    <t xml:space="preserve">강동구</t>
  </si>
  <si>
    <t xml:space="preserve">11650</t>
  </si>
  <si>
    <t xml:space="preserve">서초구</t>
  </si>
  <si>
    <t xml:space="preserve">43800</t>
  </si>
  <si>
    <t xml:space="preserve">단양군</t>
  </si>
  <si>
    <t xml:space="preserve">11680</t>
  </si>
  <si>
    <t xml:space="preserve">강남구</t>
  </si>
  <si>
    <t xml:space="preserve">51810</t>
  </si>
  <si>
    <t xml:space="preserve">인제군</t>
  </si>
  <si>
    <t xml:space="preserve">46900</t>
  </si>
  <si>
    <t xml:space="preserve">진도군</t>
  </si>
  <si>
    <t xml:space="preserve">41220</t>
  </si>
  <si>
    <t xml:space="preserve">평택시</t>
  </si>
  <si>
    <t xml:space="preserve">41170</t>
  </si>
  <si>
    <t xml:space="preserve">안양시</t>
  </si>
  <si>
    <t xml:space="preserve">28185</t>
  </si>
  <si>
    <t xml:space="preserve">연수구</t>
  </si>
  <si>
    <t xml:space="preserve">41630</t>
  </si>
  <si>
    <t xml:space="preserve">양주시</t>
  </si>
  <si>
    <t xml:space="preserve">47730</t>
  </si>
  <si>
    <t xml:space="preserve">의성군</t>
  </si>
  <si>
    <t xml:space="preserve">11290</t>
  </si>
  <si>
    <t xml:space="preserve">성북구</t>
  </si>
  <si>
    <t xml:space="preserve">51770</t>
  </si>
  <si>
    <t xml:space="preserve">정선군</t>
  </si>
  <si>
    <t xml:space="preserve">41480</t>
  </si>
  <si>
    <t xml:space="preserve">파주시</t>
  </si>
  <si>
    <t xml:space="preserve">46860</t>
  </si>
  <si>
    <t xml:space="preserve">함평군</t>
  </si>
  <si>
    <t xml:space="preserve">52790</t>
  </si>
  <si>
    <t xml:space="preserve">고창군</t>
  </si>
  <si>
    <t xml:space="preserve">46770</t>
  </si>
  <si>
    <t xml:space="preserve">고흥군</t>
  </si>
  <si>
    <t xml:space="preserve">46800</t>
  </si>
  <si>
    <t xml:space="preserve">장흥군</t>
  </si>
  <si>
    <t xml:space="preserve">11710</t>
  </si>
  <si>
    <t xml:space="preserve">송파구</t>
  </si>
  <si>
    <t xml:space="preserve">52750</t>
  </si>
  <si>
    <t xml:space="preserve">임실군</t>
  </si>
  <si>
    <t xml:space="preserve">평가연도</t>
  </si>
  <si>
    <t xml:space="preserve">AUC</t>
  </si>
  <si>
    <t xml:space="preserve">PR-AUC</t>
  </si>
  <si>
    <r>
      <rPr>
        <b val="true"/>
        <sz val="10"/>
        <rFont val="Arial"/>
        <family val="0"/>
        <charset val="1"/>
      </rPr>
      <t xml:space="preserve">k(</t>
    </r>
    <r>
      <rPr>
        <b val="true"/>
        <sz val="10"/>
        <rFont val="Noto Sans CJK SC"/>
        <family val="2"/>
      </rPr>
      <t xml:space="preserve">실제 위험지역 수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</si>
  <si>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Top-k </t>
    </r>
    <r>
      <rPr>
        <b val="true"/>
        <sz val="10"/>
        <rFont val="Noto Sans CJK SC"/>
        <family val="2"/>
      </rPr>
      <t xml:space="preserve">적중률</t>
    </r>
  </si>
  <si>
    <t xml:space="preserve">Precision@20</t>
  </si>
  <si>
    <t xml:space="preserve">로지스틱</t>
  </si>
  <si>
    <t xml:space="preserve">랜덤포레스트</t>
  </si>
  <si>
    <t xml:space="preserve">GBM</t>
  </si>
  <si>
    <r>
      <rPr>
        <b val="true"/>
        <sz val="10"/>
        <rFont val="Arial"/>
        <family val="0"/>
        <charset val="1"/>
      </rPr>
      <t xml:space="preserve">2021·2022 </t>
    </r>
    <r>
      <rPr>
        <b val="true"/>
        <sz val="10"/>
        <rFont val="Noto Sans CJK SC"/>
        <family val="2"/>
      </rPr>
      <t xml:space="preserve">평균</t>
    </r>
  </si>
  <si>
    <r>
      <rPr>
        <sz val="10"/>
        <rFont val="Noto Sans CJK SC"/>
        <family val="2"/>
      </rPr>
      <t xml:space="preserve">학습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평가연도−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이하 기준연도</t>
    </r>
    <r>
      <rPr>
        <sz val="10"/>
        <rFont val="Arial"/>
        <family val="0"/>
        <charset val="1"/>
      </rPr>
      <t xml:space="preserve">. k = </t>
    </r>
    <r>
      <rPr>
        <sz val="10"/>
        <rFont val="Noto Sans CJK SC"/>
        <family val="2"/>
      </rPr>
      <t xml:space="preserve">해당 평가연도 실제 위험지역 수</t>
    </r>
    <r>
      <rPr>
        <sz val="10"/>
        <rFont val="Arial"/>
        <family val="0"/>
        <charset val="1"/>
      </rPr>
      <t xml:space="preserve">. Precision@20 = </t>
    </r>
    <r>
      <rPr>
        <sz val="10"/>
        <rFont val="Noto Sans CJK SC"/>
        <family val="2"/>
      </rPr>
      <t xml:space="preserve">위험점수 상위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곳 중 실제 위험 비율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변수셋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최종 보강셋</t>
    </r>
    <r>
      <rPr>
        <sz val="10"/>
        <rFont val="Arial"/>
        <family val="0"/>
        <charset val="1"/>
      </rPr>
      <t xml:space="preserve">.</t>
    </r>
  </si>
  <si>
    <t xml:space="preserve">변수</t>
  </si>
  <si>
    <r>
      <rPr>
        <b val="true"/>
        <sz val="10"/>
        <color rgb="FFFFFFFF"/>
        <rFont val="Noto Sans CJK SC"/>
        <family val="2"/>
      </rPr>
      <t xml:space="preserve">중요도</t>
    </r>
    <r>
      <rPr>
        <b val="true"/>
        <sz val="10"/>
        <color rgb="FFFFFFFF"/>
        <rFont val="Arial"/>
        <family val="0"/>
        <charset val="1"/>
      </rPr>
      <t xml:space="preserve">(PR-AUC </t>
    </r>
    <r>
      <rPr>
        <b val="true"/>
        <sz val="10"/>
        <color rgb="FFFFFFFF"/>
        <rFont val="Noto Sans CJK SC"/>
        <family val="2"/>
      </rPr>
      <t xml:space="preserve">감소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</si>
  <si>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표준편차</t>
  </si>
  <si>
    <r>
      <rPr>
        <sz val="10"/>
        <rFont val="Arial"/>
        <family val="0"/>
        <charset val="1"/>
      </rPr>
      <t xml:space="preserve">0~5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천명당 어린이집</t>
    </r>
  </si>
  <si>
    <t xml:space="preserve">가정 비율</t>
  </si>
  <si>
    <t xml:space="preserve">기타 비율</t>
  </si>
  <si>
    <r>
      <rPr>
        <sz val="10"/>
        <rFont val="Noto Sans CJK SC"/>
        <family val="2"/>
      </rPr>
      <t xml:space="preserve">시도 소아과 폐업률</t>
    </r>
    <r>
      <rPr>
        <sz val="10"/>
        <rFont val="Arial"/>
        <family val="0"/>
        <charset val="1"/>
      </rPr>
      <t xml:space="preserve">(t)</t>
    </r>
  </si>
  <si>
    <r>
      <rPr>
        <sz val="10"/>
        <rFont val="Noto Sans CJK SC"/>
        <family val="2"/>
      </rPr>
      <t xml:space="preserve">시도 소아과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년 누적 폐업</t>
    </r>
  </si>
  <si>
    <t xml:space="preserve">법인 비율</t>
  </si>
  <si>
    <t xml:space="preserve">국공립 비율</t>
  </si>
  <si>
    <r>
      <rPr>
        <sz val="10"/>
        <rFont val="Noto Sans CJK SC"/>
        <family val="2"/>
      </rPr>
      <t xml:space="preserve">시도 소아과 폐업</t>
    </r>
    <r>
      <rPr>
        <sz val="10"/>
        <rFont val="Arial"/>
        <family val="0"/>
        <charset val="1"/>
      </rPr>
      <t xml:space="preserve">(t)</t>
    </r>
  </si>
  <si>
    <t xml:space="preserve">정원 충족률</t>
  </si>
  <si>
    <r>
      <rPr>
        <sz val="10"/>
        <rFont val="Noto Sans CJK SC"/>
        <family val="2"/>
      </rPr>
      <t xml:space="preserve">시도 소아과 개업</t>
    </r>
    <r>
      <rPr>
        <sz val="10"/>
        <rFont val="Arial"/>
        <family val="0"/>
        <charset val="1"/>
      </rPr>
      <t xml:space="preserve">(t)</t>
    </r>
  </si>
  <si>
    <t xml:space="preserve">가정 수</t>
  </si>
  <si>
    <r>
      <rPr>
        <sz val="10"/>
        <rFont val="Arial"/>
        <family val="0"/>
        <charset val="1"/>
      </rPr>
      <t xml:space="preserve">0~5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천명당 소아과</t>
    </r>
  </si>
  <si>
    <r>
      <rPr>
        <sz val="10"/>
        <rFont val="Arial"/>
        <family val="0"/>
        <charset val="1"/>
      </rPr>
      <t xml:space="preserve">0~5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년 변화율</t>
    </r>
  </si>
  <si>
    <t xml:space="preserve">민간 수</t>
  </si>
  <si>
    <r>
      <rPr>
        <sz val="10"/>
        <rFont val="Noto Sans CJK SC"/>
        <family val="2"/>
      </rPr>
      <t xml:space="preserve">출생아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년 변화율</t>
    </r>
  </si>
  <si>
    <r>
      <rPr>
        <sz val="10"/>
        <rFont val="Noto Sans CJK SC"/>
        <family val="2"/>
      </rPr>
      <t xml:space="preserve">정원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변화율</t>
    </r>
  </si>
  <si>
    <t xml:space="preserve">민간 비율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</si>
  <si>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폐원 추정 수</t>
    </r>
  </si>
  <si>
    <r>
      <rPr>
        <sz val="10"/>
        <rFont val="Noto Sans CJK SC"/>
        <family val="2"/>
      </rPr>
      <t xml:space="preserve">당해 휴지 시작 시설 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휴지시작일 기준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</si>
  <si>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시도 소아과 순증</t>
    </r>
    <r>
      <rPr>
        <sz val="10"/>
        <rFont val="Arial"/>
        <family val="0"/>
        <charset val="1"/>
      </rPr>
      <t xml:space="preserve">(t)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</si>
  <si>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운영중단 추정 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폐원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휴지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</si>
  <si>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어린이집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변화율</t>
    </r>
  </si>
  <si>
    <t xml:space="preserve">어린이집 정원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</si>
  <si>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휴지 전환 수</t>
    </r>
  </si>
  <si>
    <t xml:space="preserve">어린이집 현원</t>
  </si>
  <si>
    <r>
      <rPr>
        <sz val="10"/>
        <rFont val="Arial"/>
        <family val="0"/>
        <charset val="1"/>
      </rPr>
      <t xml:space="preserve">0~5</t>
    </r>
    <r>
      <rPr>
        <sz val="10"/>
        <rFont val="Noto Sans CJK SC"/>
        <family val="2"/>
      </rPr>
      <t xml:space="preserve">세 대비 정원</t>
    </r>
  </si>
  <si>
    <t xml:space="preserve">출생아수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</si>
  <si>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폐원 추정률</t>
    </r>
  </si>
  <si>
    <r>
      <rPr>
        <sz val="10"/>
        <rFont val="Noto Sans CJK SC"/>
        <family val="2"/>
      </rPr>
      <t xml:space="preserve">소아과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곳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현재 공백</t>
    </r>
    <r>
      <rPr>
        <sz val="10"/>
        <rFont val="Arial"/>
        <family val="0"/>
        <charset val="1"/>
      </rPr>
      <t xml:space="preserve">)</t>
    </r>
  </si>
  <si>
    <t xml:space="preserve">협동 수</t>
  </si>
  <si>
    <t xml:space="preserve">logp</t>
  </si>
  <si>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세 인구</t>
    </r>
  </si>
  <si>
    <r>
      <rPr>
        <sz val="10"/>
        <rFont val="Noto Sans CJK SC"/>
        <family val="2"/>
      </rPr>
      <t xml:space="preserve">총인구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변화율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</si>
  <si>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신규 추정률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</si>
  <si>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신규 추정 수</t>
    </r>
  </si>
  <si>
    <t xml:space="preserve">총인구</t>
  </si>
  <si>
    <r>
      <rPr>
        <sz val="10"/>
        <rFont val="Noto Sans CJK SC"/>
        <family val="2"/>
      </rPr>
      <t xml:space="preserve">출생아</t>
    </r>
    <r>
      <rPr>
        <sz val="10"/>
        <rFont val="Arial"/>
        <family val="0"/>
        <charset val="1"/>
      </rPr>
      <t xml:space="preserve">/0~5</t>
    </r>
    <r>
      <rPr>
        <sz val="10"/>
        <rFont val="Noto Sans CJK SC"/>
        <family val="2"/>
      </rPr>
      <t xml:space="preserve">세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</si>
  <si>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운영중단 추정률</t>
    </r>
  </si>
  <si>
    <t xml:space="preserve">연말 휴지시설 수</t>
  </si>
  <si>
    <r>
      <rPr>
        <sz val="10"/>
        <rFont val="Noto Sans CJK SC"/>
        <family val="2"/>
      </rPr>
      <t xml:space="preserve">운영시설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폐원 추정 수</t>
    </r>
  </si>
  <si>
    <r>
      <rPr>
        <sz val="10"/>
        <rFont val="Arial"/>
        <family val="0"/>
        <charset val="1"/>
      </rPr>
      <t xml:space="preserve">0~5</t>
    </r>
    <r>
      <rPr>
        <sz val="10"/>
        <rFont val="Noto Sans CJK SC"/>
        <family val="2"/>
      </rPr>
      <t xml:space="preserve">세 인구</t>
    </r>
  </si>
  <si>
    <t xml:space="preserve">지방소멸위험지수</t>
  </si>
  <si>
    <t xml:space="preserve">법인 수</t>
  </si>
  <si>
    <t xml:space="preserve">재정자립도</t>
  </si>
  <si>
    <t xml:space="preserve">기타 수</t>
  </si>
  <si>
    <r>
      <rPr>
        <sz val="10"/>
        <rFont val="Arial"/>
        <family val="0"/>
        <charset val="1"/>
      </rPr>
      <t xml:space="preserve">65</t>
    </r>
    <r>
      <rPr>
        <sz val="10"/>
        <rFont val="Noto Sans CJK SC"/>
        <family val="2"/>
      </rPr>
      <t xml:space="preserve">세 이상 비율</t>
    </r>
  </si>
  <si>
    <r>
      <rPr>
        <sz val="10"/>
        <rFont val="Arial"/>
        <family val="0"/>
        <charset val="1"/>
      </rPr>
      <t xml:space="preserve">20~39</t>
    </r>
    <r>
      <rPr>
        <sz val="10"/>
        <rFont val="Noto Sans CJK SC"/>
        <family val="2"/>
      </rPr>
      <t xml:space="preserve">세 여성 비율</t>
    </r>
  </si>
  <si>
    <r>
      <rPr>
        <sz val="10"/>
        <rFont val="Noto Sans CJK SC"/>
        <family val="2"/>
      </rPr>
      <t xml:space="preserve">소아과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년 변화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곳</t>
    </r>
    <r>
      <rPr>
        <sz val="10"/>
        <rFont val="Arial"/>
        <family val="0"/>
        <charset val="1"/>
      </rPr>
      <t xml:space="preserve">)</t>
    </r>
  </si>
  <si>
    <t xml:space="preserve">직장 수</t>
  </si>
  <si>
    <t xml:space="preserve">직장 비율</t>
  </si>
  <si>
    <t xml:space="preserve">국공립 수</t>
  </si>
  <si>
    <t xml:space="preserve">연말 휴지시설 비율</t>
  </si>
  <si>
    <r>
      <rPr>
        <sz val="10"/>
        <rFont val="Noto Sans CJK SC"/>
        <family val="2"/>
      </rPr>
      <t xml:space="preserve">순열 중요도</t>
    </r>
    <r>
      <rPr>
        <sz val="10"/>
        <rFont val="Arial"/>
        <family val="0"/>
        <charset val="1"/>
      </rPr>
      <t xml:space="preserve">: 2016~2019 </t>
    </r>
    <r>
      <rPr>
        <sz val="10"/>
        <rFont val="Noto Sans CJK SC"/>
        <family val="2"/>
      </rPr>
      <t xml:space="preserve">학습 모델로 </t>
    </r>
    <r>
      <rPr>
        <sz val="10"/>
        <rFont val="Arial"/>
        <family val="0"/>
        <charset val="1"/>
      </rPr>
      <t xml:space="preserve">2020~2022 </t>
    </r>
    <r>
      <rPr>
        <sz val="10"/>
        <rFont val="Noto Sans CJK SC"/>
        <family val="2"/>
      </rPr>
      <t xml:space="preserve">평가 시 변수를 섞었을 때 </t>
    </r>
    <r>
      <rPr>
        <sz val="10"/>
        <rFont val="Arial"/>
        <family val="0"/>
        <charset val="1"/>
      </rPr>
      <t xml:space="preserve">PR-AUC</t>
    </r>
    <r>
      <rPr>
        <sz val="10"/>
        <rFont val="Noto Sans CJK SC"/>
        <family val="2"/>
      </rPr>
      <t xml:space="preserve">가 떨어지는 정도</t>
    </r>
    <r>
      <rPr>
        <sz val="10"/>
        <rFont val="Arial"/>
        <family val="0"/>
        <charset val="1"/>
      </rPr>
      <t xml:space="preserve">(10</t>
    </r>
    <r>
      <rPr>
        <sz val="10"/>
        <rFont val="Noto Sans CJK SC"/>
        <family val="2"/>
      </rPr>
      <t xml:space="preserve">회 평균</t>
    </r>
    <r>
      <rPr>
        <sz val="10"/>
        <rFont val="Arial"/>
        <family val="0"/>
        <charset val="1"/>
      </rPr>
      <t xml:space="preserve">). 0 </t>
    </r>
    <r>
      <rPr>
        <sz val="10"/>
        <rFont val="Noto Sans CJK SC"/>
        <family val="2"/>
      </rPr>
      <t xml:space="preserve">근처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음수는 기여 없음</t>
    </r>
    <r>
      <rPr>
        <sz val="10"/>
        <rFont val="Arial"/>
        <family val="0"/>
        <charset val="1"/>
      </rPr>
      <t xml:space="preserve">.</t>
    </r>
  </si>
  <si>
    <t xml:space="preserve">확인 항목</t>
  </si>
  <si>
    <t xml:space="preserve">2027</t>
  </si>
  <si>
    <t xml:space="preserve">2028</t>
  </si>
  <si>
    <t xml:space="preserve">해석</t>
  </si>
  <si>
    <r>
      <rPr>
        <sz val="10"/>
        <rFont val="Noto Sans CJK SC"/>
        <family val="2"/>
      </rPr>
      <t xml:space="preserve">시도 변수 제외 시 순위 상관</t>
    </r>
    <r>
      <rPr>
        <sz val="10"/>
        <rFont val="Arial"/>
        <family val="0"/>
        <charset val="1"/>
      </rPr>
      <t xml:space="preserve">(Spearman)</t>
    </r>
  </si>
  <si>
    <t xml:space="preserve">전체 순위는 거의 유지</t>
  </si>
  <si>
    <r>
      <rPr>
        <sz val="10"/>
        <rFont val="Noto Sans CJK SC"/>
        <family val="2"/>
      </rPr>
      <t xml:space="preserve">상위 </t>
    </r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겹침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시도 변수 제외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</si>
  <si>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2028</t>
    </r>
    <r>
      <rPr>
        <sz val="10"/>
        <rFont val="Noto Sans CJK SC"/>
        <family val="2"/>
      </rPr>
      <t xml:space="preserve">은 일부 바뀜 → 상위권 경계 지역은 해석 주의</t>
    </r>
  </si>
  <si>
    <r>
      <rPr>
        <sz val="10"/>
        <rFont val="Noto Sans CJK SC"/>
        <family val="2"/>
      </rPr>
      <t xml:space="preserve">상위 </t>
    </r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중 경남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최종 모델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</si>
  <si>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상위 </t>
    </r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중 경남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시도 변수 제외</t>
    </r>
    <r>
      <rPr>
        <sz val="10"/>
        <rFont val="Arial"/>
        <family val="0"/>
        <charset val="1"/>
      </rPr>
      <t xml:space="preserve">)</t>
    </r>
  </si>
  <si>
    <t xml:space="preserve">경남 쏠림 일부는 시도 단위 변수 효과</t>
  </si>
  <si>
    <r>
      <rPr>
        <sz val="10"/>
        <rFont val="Noto Sans CJK SC"/>
        <family val="2"/>
      </rPr>
      <t xml:space="preserve">팀 </t>
    </r>
    <r>
      <rPr>
        <sz val="10"/>
        <rFont val="Arial"/>
        <family val="0"/>
        <charset val="1"/>
      </rPr>
      <t xml:space="preserve">RF(79</t>
    </r>
    <r>
      <rPr>
        <sz val="10"/>
        <rFont val="Noto Sans CJK SC"/>
        <family val="2"/>
      </rPr>
      <t xml:space="preserve">개 변수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와 순위 상관</t>
    </r>
  </si>
  <si>
    <t xml:space="preserve">변수 정리 후에도 결과가 거의 같음</t>
  </si>
  <si>
    <r>
      <rPr>
        <sz val="10"/>
        <rFont val="Noto Sans CJK SC"/>
        <family val="2"/>
      </rPr>
      <t xml:space="preserve">팀 </t>
    </r>
    <r>
      <rPr>
        <sz val="10"/>
        <rFont val="Arial"/>
        <family val="0"/>
        <charset val="1"/>
      </rPr>
      <t xml:space="preserve">RF</t>
    </r>
    <r>
      <rPr>
        <sz val="10"/>
        <rFont val="Noto Sans CJK SC"/>
        <family val="2"/>
      </rPr>
      <t xml:space="preserve">와 상위 </t>
    </r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겹침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</si>
</sst>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.000"/>
    <numFmt numFmtId="167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sz val="10"/>
      <color rgb="FF0000FF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305496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BDD7E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1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1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1" t="s">
        <v>8</v>
      </c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1" t="s">
        <v>13</v>
      </c>
    </row>
    <row r="19" customFormat="false" ht="15" hidden="false" customHeight="false" outlineLevel="0" collapsed="false">
      <c r="A19" s="2" t="s">
        <v>14</v>
      </c>
    </row>
    <row r="20" customFormat="false" ht="15" hidden="false" customHeight="false" outlineLevel="0" collapsed="false">
      <c r="A20" s="2" t="s">
        <v>15</v>
      </c>
    </row>
    <row r="21" customFormat="false" ht="15" hidden="false" customHeight="false" outlineLevel="0" collapsed="false">
      <c r="A21" s="2" t="s">
        <v>16</v>
      </c>
    </row>
    <row r="22" customFormat="false" ht="15" hidden="false" customHeight="false" outlineLevel="0" collapsed="false">
      <c r="A22" s="2" t="s">
        <v>17</v>
      </c>
    </row>
    <row r="23" customFormat="false" ht="15" hidden="false" customHeight="false" outlineLevel="0" collapsed="false">
      <c r="A23" s="2"/>
    </row>
    <row r="24" customFormat="false" ht="15" hidden="false" customHeight="false" outlineLevel="0" collapsed="false">
      <c r="A24" s="1" t="s">
        <v>18</v>
      </c>
    </row>
    <row r="25" customFormat="false" ht="15" hidden="false" customHeight="false" outlineLevel="0" collapsed="false">
      <c r="A25" s="3" t="s">
        <v>19</v>
      </c>
      <c r="B25" s="4" t="n">
        <v>46</v>
      </c>
    </row>
    <row r="26" customFormat="false" ht="15" hidden="false" customHeight="false" outlineLevel="0" collapsed="false">
      <c r="A26" s="3" t="s">
        <v>20</v>
      </c>
      <c r="B26" s="4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2"/>
    <col collapsed="false" customWidth="true" hidden="false" outlineLevel="0" max="4" min="4" style="0" width="18"/>
    <col collapsed="false" customWidth="true" hidden="false" outlineLevel="0" max="5" min="5" style="0" width="60"/>
  </cols>
  <sheetData>
    <row r="1" customFormat="false" ht="15" hidden="false" customHeight="false" outlineLevel="0" collapsed="false">
      <c r="A1" s="1" t="s">
        <v>21</v>
      </c>
      <c r="B1" s="5" t="s">
        <v>22</v>
      </c>
      <c r="C1" s="5" t="s">
        <v>23</v>
      </c>
      <c r="D1" s="5" t="s">
        <v>24</v>
      </c>
      <c r="E1" s="1" t="s">
        <v>25</v>
      </c>
    </row>
    <row r="2" customFormat="false" ht="15" hidden="false" customHeight="false" outlineLevel="0" collapsed="false">
      <c r="A2" s="3" t="s">
        <v>26</v>
      </c>
      <c r="B2" s="2" t="n">
        <f aca="false">COUNTIF(사분면_2027!$Q:$Q,A2)</f>
        <v>4</v>
      </c>
      <c r="C2" s="2" t="n">
        <f aca="false">COUNTIF(사분면_2028!$Q:$Q,A2)</f>
        <v>3</v>
      </c>
      <c r="D2" s="2" t="n">
        <f aca="false">SUMPRODUCT(--(사분면_2027!$Q$2:$Q$230=A2),--(COUNTIFS(사분면_2028!$A$2:$A$230,사분면_2027!$A$2:$A$230,사분면_2028!$Q$2:$Q$230,A2)&gt;0))</f>
        <v>3</v>
      </c>
      <c r="E2" s="3" t="s">
        <v>27</v>
      </c>
    </row>
    <row r="3" customFormat="false" ht="15" hidden="false" customHeight="false" outlineLevel="0" collapsed="false">
      <c r="A3" s="3" t="s">
        <v>28</v>
      </c>
      <c r="B3" s="2" t="n">
        <f aca="false">COUNTIF(사분면_2027!$Q:$Q,A3)</f>
        <v>42</v>
      </c>
      <c r="C3" s="2" t="n">
        <f aca="false">COUNTIF(사분면_2028!$Q:$Q,A3)</f>
        <v>43</v>
      </c>
      <c r="D3" s="2" t="n">
        <f aca="false">SUMPRODUCT(--(사분면_2027!$Q$2:$Q$230=A3),--(COUNTIFS(사분면_2028!$A$2:$A$230,사분면_2027!$A$2:$A$230,사분면_2028!$Q$2:$Q$230,A3)&gt;0))</f>
        <v>34</v>
      </c>
      <c r="E3" s="3" t="s">
        <v>29</v>
      </c>
    </row>
    <row r="4" customFormat="false" ht="15" hidden="false" customHeight="false" outlineLevel="0" collapsed="false">
      <c r="A4" s="3" t="s">
        <v>30</v>
      </c>
      <c r="B4" s="2" t="n">
        <f aca="false">COUNTIF(사분면_2027!$Q:$Q,A4)</f>
        <v>54</v>
      </c>
      <c r="C4" s="2" t="n">
        <f aca="false">COUNTIF(사분면_2028!$Q:$Q,A4)</f>
        <v>55</v>
      </c>
      <c r="D4" s="2" t="n">
        <f aca="false">SUMPRODUCT(--(사분면_2027!$Q$2:$Q$230=A4),--(COUNTIFS(사분면_2028!$A$2:$A$230,사분면_2027!$A$2:$A$230,사분면_2028!$Q$2:$Q$230,A4)&gt;0))</f>
        <v>53</v>
      </c>
      <c r="E4" s="3" t="s">
        <v>31</v>
      </c>
    </row>
    <row r="5" customFormat="false" ht="15" hidden="false" customHeight="false" outlineLevel="0" collapsed="false">
      <c r="A5" s="3" t="s">
        <v>32</v>
      </c>
      <c r="B5" s="2" t="n">
        <f aca="false">COUNTIF(사분면_2027!$Q:$Q,A5)</f>
        <v>129</v>
      </c>
      <c r="C5" s="2" t="n">
        <f aca="false">COUNTIF(사분면_2028!$Q:$Q,A5)</f>
        <v>128</v>
      </c>
      <c r="D5" s="2" t="n">
        <f aca="false">SUMPRODUCT(--(사분면_2027!$Q$2:$Q$230=A5),--(COUNTIFS(사분면_2028!$A$2:$A$230,사분면_2027!$A$2:$A$230,사분면_2028!$Q$2:$Q$230,A5)&gt;0))</f>
        <v>119</v>
      </c>
      <c r="E5" s="3" t="s">
        <v>33</v>
      </c>
    </row>
    <row r="6" customFormat="false" ht="15" hidden="false" customHeight="false" outlineLevel="0" collapsed="false">
      <c r="A6" s="1" t="s">
        <v>34</v>
      </c>
      <c r="B6" s="1" t="n">
        <f aca="false">SUM(B2:B5)</f>
        <v>229</v>
      </c>
      <c r="C6" s="1" t="n">
        <f aca="false">SUM(C2:C5)</f>
        <v>229</v>
      </c>
      <c r="D6" s="1"/>
      <c r="E6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4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9"/>
    <col collapsed="false" customWidth="true" hidden="false" outlineLevel="0" max="8" min="8" style="0" width="11"/>
    <col collapsed="false" customWidth="true" hidden="false" outlineLevel="0" max="9" min="9" style="0" width="9"/>
    <col collapsed="false" customWidth="true" hidden="false" outlineLevel="0" max="10" min="10" style="0" width="12"/>
    <col collapsed="false" customWidth="true" hidden="false" outlineLevel="0" max="13" min="11" style="0" width="8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6" min="16" style="0" width="9"/>
    <col collapsed="false" customWidth="true" hidden="false" outlineLevel="0" max="17" min="17" style="0" width="22"/>
    <col collapsed="false" customWidth="true" hidden="false" outlineLevel="0" max="18" min="18" style="0" width="11"/>
    <col collapsed="false" customWidth="true" hidden="false" outlineLevel="0" max="19" min="19" style="0" width="10"/>
  </cols>
  <sheetData>
    <row r="1" customFormat="false" ht="42" hidden="false" customHeight="true" outlineLevel="0" collapsed="false">
      <c r="A1" s="6" t="s">
        <v>35</v>
      </c>
      <c r="B1" s="6" t="s">
        <v>36</v>
      </c>
      <c r="C1" s="6" t="s">
        <v>37</v>
      </c>
      <c r="D1" s="6" t="s">
        <v>38</v>
      </c>
      <c r="E1" s="6" t="s">
        <v>39</v>
      </c>
      <c r="F1" s="7" t="s">
        <v>40</v>
      </c>
      <c r="G1" s="6" t="s">
        <v>41</v>
      </c>
      <c r="H1" s="7" t="s">
        <v>42</v>
      </c>
      <c r="I1" s="6" t="s">
        <v>43</v>
      </c>
      <c r="J1" s="6" t="s">
        <v>44</v>
      </c>
      <c r="K1" s="7" t="s">
        <v>45</v>
      </c>
      <c r="L1" s="6" t="s">
        <v>46</v>
      </c>
      <c r="M1" s="6" t="s">
        <v>47</v>
      </c>
      <c r="N1" s="6" t="s">
        <v>48</v>
      </c>
      <c r="O1" s="6" t="s">
        <v>49</v>
      </c>
      <c r="P1" s="6" t="s">
        <v>50</v>
      </c>
      <c r="Q1" s="6" t="s">
        <v>21</v>
      </c>
      <c r="R1" s="6" t="s">
        <v>51</v>
      </c>
      <c r="S1" s="6" t="s">
        <v>52</v>
      </c>
    </row>
    <row r="2" customFormat="false" ht="15" hidden="false" customHeight="false" outlineLevel="0" collapsed="false">
      <c r="A2" s="2" t="s">
        <v>53</v>
      </c>
      <c r="B2" s="3" t="s">
        <v>54</v>
      </c>
      <c r="C2" s="3" t="s">
        <v>55</v>
      </c>
      <c r="D2" s="2" t="n">
        <v>2024</v>
      </c>
      <c r="E2" s="2" t="n">
        <v>2027</v>
      </c>
      <c r="F2" s="2" t="n">
        <v>6894</v>
      </c>
      <c r="G2" s="2" t="n">
        <v>131</v>
      </c>
      <c r="H2" s="8" t="n">
        <v>19.002030751378</v>
      </c>
      <c r="I2" s="2" t="n">
        <v>6</v>
      </c>
      <c r="J2" s="2" t="n">
        <v>22</v>
      </c>
      <c r="K2" s="2" t="n">
        <f aca="false">IF(H2&lt;=PERCENTILE($H$2:$H$230,설명!$B$26),1,0)</f>
        <v>0</v>
      </c>
      <c r="L2" s="2" t="n">
        <f aca="false">IF(I2=0,1,0)</f>
        <v>0</v>
      </c>
      <c r="M2" s="2" t="n">
        <f aca="false">L2</f>
        <v>0</v>
      </c>
      <c r="N2" s="9" t="n">
        <v>0.7461</v>
      </c>
      <c r="O2" s="2" t="n">
        <f aca="false">RANK(N2,$N$2:$N$230,0)</f>
        <v>1</v>
      </c>
      <c r="P2" s="2" t="n">
        <f aca="false">IF(O2&lt;=설명!$B$25,1,0)</f>
        <v>1</v>
      </c>
      <c r="Q2" s="2" t="str">
        <f aca="false">IF(AND(M2=1,P2=1),"① 최우선 지원",IF(P2=1,"② 예방 대상",IF(M2=1,"③ 구조적 공백","④ 관찰")))</f>
        <v>② 예방 대상</v>
      </c>
      <c r="R2" s="9" t="n">
        <v>0.696</v>
      </c>
      <c r="S2" s="2" t="n">
        <f aca="false">RANK(R2,$R$2:$R$230,0)</f>
        <v>1</v>
      </c>
    </row>
    <row r="3" customFormat="false" ht="15" hidden="false" customHeight="false" outlineLevel="0" collapsed="false">
      <c r="A3" s="2" t="s">
        <v>56</v>
      </c>
      <c r="B3" s="3" t="s">
        <v>54</v>
      </c>
      <c r="C3" s="3" t="s">
        <v>57</v>
      </c>
      <c r="D3" s="2" t="n">
        <v>2024</v>
      </c>
      <c r="E3" s="2" t="n">
        <v>2027</v>
      </c>
      <c r="F3" s="2" t="n">
        <v>30113</v>
      </c>
      <c r="G3" s="2" t="n">
        <v>560</v>
      </c>
      <c r="H3" s="8" t="n">
        <v>18.596619400259</v>
      </c>
      <c r="I3" s="2" t="n">
        <v>25</v>
      </c>
      <c r="J3" s="2" t="n">
        <v>115</v>
      </c>
      <c r="K3" s="2" t="n">
        <f aca="false">IF(H3&lt;=PERCENTILE($H$2:$H$230,설명!$B$26),1,0)</f>
        <v>0</v>
      </c>
      <c r="L3" s="2" t="n">
        <f aca="false">IF(I3=0,1,0)</f>
        <v>0</v>
      </c>
      <c r="M3" s="2" t="n">
        <f aca="false">L3</f>
        <v>0</v>
      </c>
      <c r="N3" s="9" t="n">
        <v>0.7004</v>
      </c>
      <c r="O3" s="2" t="n">
        <f aca="false">RANK(N3,$N$2:$N$230,0)</f>
        <v>2</v>
      </c>
      <c r="P3" s="2" t="n">
        <f aca="false">IF(O3&lt;=설명!$B$25,1,0)</f>
        <v>1</v>
      </c>
      <c r="Q3" s="2" t="str">
        <f aca="false">IF(AND(M3=1,P3=1),"① 최우선 지원",IF(P3=1,"② 예방 대상",IF(M3=1,"③ 구조적 공백","④ 관찰")))</f>
        <v>② 예방 대상</v>
      </c>
      <c r="R3" s="9" t="n">
        <v>0.6114</v>
      </c>
      <c r="S3" s="2" t="n">
        <f aca="false">RANK(R3,$R$2:$R$230,0)</f>
        <v>6</v>
      </c>
    </row>
    <row r="4" customFormat="false" ht="15" hidden="false" customHeight="false" outlineLevel="0" collapsed="false">
      <c r="A4" s="2" t="s">
        <v>58</v>
      </c>
      <c r="B4" s="3" t="s">
        <v>54</v>
      </c>
      <c r="C4" s="3" t="s">
        <v>59</v>
      </c>
      <c r="D4" s="2" t="n">
        <v>2024</v>
      </c>
      <c r="E4" s="2" t="n">
        <v>2027</v>
      </c>
      <c r="F4" s="2" t="n">
        <v>17490</v>
      </c>
      <c r="G4" s="2" t="n">
        <v>334</v>
      </c>
      <c r="H4" s="8" t="n">
        <v>19.0966266437965</v>
      </c>
      <c r="I4" s="2" t="n">
        <v>20</v>
      </c>
      <c r="J4" s="2" t="n">
        <v>62</v>
      </c>
      <c r="K4" s="2" t="n">
        <f aca="false">IF(H4&lt;=PERCENTILE($H$2:$H$230,설명!$B$26),1,0)</f>
        <v>0</v>
      </c>
      <c r="L4" s="2" t="n">
        <f aca="false">IF(I4=0,1,0)</f>
        <v>0</v>
      </c>
      <c r="M4" s="2" t="n">
        <f aca="false">L4</f>
        <v>0</v>
      </c>
      <c r="N4" s="9" t="n">
        <v>0.6586</v>
      </c>
      <c r="O4" s="2" t="n">
        <f aca="false">RANK(N4,$N$2:$N$230,0)</f>
        <v>3</v>
      </c>
      <c r="P4" s="2" t="n">
        <f aca="false">IF(O4&lt;=설명!$B$25,1,0)</f>
        <v>1</v>
      </c>
      <c r="Q4" s="2" t="str">
        <f aca="false">IF(AND(M4=1,P4=1),"① 최우선 지원",IF(P4=1,"② 예방 대상",IF(M4=1,"③ 구조적 공백","④ 관찰")))</f>
        <v>② 예방 대상</v>
      </c>
      <c r="R4" s="9" t="n">
        <v>0.5082</v>
      </c>
      <c r="S4" s="2" t="n">
        <f aca="false">RANK(R4,$R$2:$R$230,0)</f>
        <v>16</v>
      </c>
    </row>
    <row r="5" customFormat="false" ht="15" hidden="false" customHeight="false" outlineLevel="0" collapsed="false">
      <c r="A5" s="2" t="s">
        <v>60</v>
      </c>
      <c r="B5" s="3" t="s">
        <v>54</v>
      </c>
      <c r="C5" s="3" t="s">
        <v>61</v>
      </c>
      <c r="D5" s="2" t="n">
        <v>2024</v>
      </c>
      <c r="E5" s="2" t="n">
        <v>2027</v>
      </c>
      <c r="F5" s="2" t="n">
        <v>12894</v>
      </c>
      <c r="G5" s="2" t="n">
        <v>239</v>
      </c>
      <c r="H5" s="8" t="n">
        <v>18.5357530634404</v>
      </c>
      <c r="I5" s="2" t="n">
        <v>16</v>
      </c>
      <c r="J5" s="2" t="n">
        <v>75</v>
      </c>
      <c r="K5" s="2" t="n">
        <f aca="false">IF(H5&lt;=PERCENTILE($H$2:$H$230,설명!$B$26),1,0)</f>
        <v>0</v>
      </c>
      <c r="L5" s="2" t="n">
        <f aca="false">IF(I5=0,1,0)</f>
        <v>0</v>
      </c>
      <c r="M5" s="2" t="n">
        <f aca="false">L5</f>
        <v>0</v>
      </c>
      <c r="N5" s="9" t="n">
        <v>0.6385</v>
      </c>
      <c r="O5" s="2" t="n">
        <f aca="false">RANK(N5,$N$2:$N$230,0)</f>
        <v>4</v>
      </c>
      <c r="P5" s="2" t="n">
        <f aca="false">IF(O5&lt;=설명!$B$25,1,0)</f>
        <v>1</v>
      </c>
      <c r="Q5" s="2" t="str">
        <f aca="false">IF(AND(M5=1,P5=1),"① 최우선 지원",IF(P5=1,"② 예방 대상",IF(M5=1,"③ 구조적 공백","④ 관찰")))</f>
        <v>② 예방 대상</v>
      </c>
      <c r="R5" s="9" t="n">
        <v>0.4536</v>
      </c>
      <c r="S5" s="2" t="n">
        <f aca="false">RANK(R5,$R$2:$R$230,0)</f>
        <v>23</v>
      </c>
    </row>
    <row r="6" customFormat="false" ht="15" hidden="false" customHeight="false" outlineLevel="0" collapsed="false">
      <c r="A6" s="2" t="s">
        <v>62</v>
      </c>
      <c r="B6" s="3" t="s">
        <v>63</v>
      </c>
      <c r="C6" s="3" t="s">
        <v>64</v>
      </c>
      <c r="D6" s="2" t="n">
        <v>2024</v>
      </c>
      <c r="E6" s="2" t="n">
        <v>2027</v>
      </c>
      <c r="F6" s="2" t="n">
        <v>23484</v>
      </c>
      <c r="G6" s="2" t="n">
        <v>465</v>
      </c>
      <c r="H6" s="8" t="n">
        <v>19.8007153806847</v>
      </c>
      <c r="I6" s="2" t="n">
        <v>22</v>
      </c>
      <c r="J6" s="2" t="n">
        <v>83</v>
      </c>
      <c r="K6" s="2" t="n">
        <f aca="false">IF(H6&lt;=PERCENTILE($H$2:$H$230,설명!$B$26),1,0)</f>
        <v>0</v>
      </c>
      <c r="L6" s="2" t="n">
        <f aca="false">IF(I6=0,1,0)</f>
        <v>0</v>
      </c>
      <c r="M6" s="2" t="n">
        <f aca="false">L6</f>
        <v>0</v>
      </c>
      <c r="N6" s="9" t="n">
        <v>0.6298</v>
      </c>
      <c r="O6" s="2" t="n">
        <f aca="false">RANK(N6,$N$2:$N$230,0)</f>
        <v>5</v>
      </c>
      <c r="P6" s="2" t="n">
        <f aca="false">IF(O6&lt;=설명!$B$25,1,0)</f>
        <v>1</v>
      </c>
      <c r="Q6" s="2" t="str">
        <f aca="false">IF(AND(M6=1,P6=1),"① 최우선 지원",IF(P6=1,"② 예방 대상",IF(M6=1,"③ 구조적 공백","④ 관찰")))</f>
        <v>② 예방 대상</v>
      </c>
      <c r="R6" s="9" t="n">
        <v>0.5571</v>
      </c>
      <c r="S6" s="2" t="n">
        <f aca="false">RANK(R6,$R$2:$R$230,0)</f>
        <v>9</v>
      </c>
    </row>
    <row r="7" customFormat="false" ht="15" hidden="false" customHeight="false" outlineLevel="0" collapsed="false">
      <c r="A7" s="2" t="s">
        <v>65</v>
      </c>
      <c r="B7" s="3" t="s">
        <v>66</v>
      </c>
      <c r="C7" s="3" t="s">
        <v>67</v>
      </c>
      <c r="D7" s="2" t="n">
        <v>2024</v>
      </c>
      <c r="E7" s="2" t="n">
        <v>2027</v>
      </c>
      <c r="F7" s="2" t="n">
        <v>1831</v>
      </c>
      <c r="G7" s="2" t="n">
        <v>60</v>
      </c>
      <c r="H7" s="8" t="n">
        <v>32.7689787001639</v>
      </c>
      <c r="I7" s="2" t="n">
        <v>4</v>
      </c>
      <c r="J7" s="2" t="n">
        <v>7</v>
      </c>
      <c r="K7" s="2" t="n">
        <f aca="false">IF(H7&lt;=PERCENTILE($H$2:$H$230,설명!$B$26),1,0)</f>
        <v>0</v>
      </c>
      <c r="L7" s="2" t="n">
        <f aca="false">IF(I7=0,1,0)</f>
        <v>0</v>
      </c>
      <c r="M7" s="2" t="n">
        <f aca="false">L7</f>
        <v>0</v>
      </c>
      <c r="N7" s="9" t="n">
        <v>0.623</v>
      </c>
      <c r="O7" s="2" t="n">
        <f aca="false">RANK(N7,$N$2:$N$230,0)</f>
        <v>6</v>
      </c>
      <c r="P7" s="2" t="n">
        <f aca="false">IF(O7&lt;=설명!$B$25,1,0)</f>
        <v>1</v>
      </c>
      <c r="Q7" s="2" t="str">
        <f aca="false">IF(AND(M7=1,P7=1),"① 최우선 지원",IF(P7=1,"② 예방 대상",IF(M7=1,"③ 구조적 공백","④ 관찰")))</f>
        <v>② 예방 대상</v>
      </c>
      <c r="R7" s="9" t="n">
        <v>0.6856</v>
      </c>
      <c r="S7" s="2" t="n">
        <f aca="false">RANK(R7,$R$2:$R$230,0)</f>
        <v>2</v>
      </c>
    </row>
    <row r="8" customFormat="false" ht="15" hidden="false" customHeight="false" outlineLevel="0" collapsed="false">
      <c r="A8" s="2" t="s">
        <v>68</v>
      </c>
      <c r="B8" s="3" t="s">
        <v>66</v>
      </c>
      <c r="C8" s="3" t="s">
        <v>69</v>
      </c>
      <c r="D8" s="2" t="n">
        <v>2024</v>
      </c>
      <c r="E8" s="2" t="n">
        <v>2027</v>
      </c>
      <c r="F8" s="2" t="n">
        <v>7003</v>
      </c>
      <c r="G8" s="2" t="n">
        <v>148</v>
      </c>
      <c r="H8" s="8" t="n">
        <v>21.1337998000857</v>
      </c>
      <c r="I8" s="2" t="n">
        <v>10</v>
      </c>
      <c r="J8" s="2" t="n">
        <v>27</v>
      </c>
      <c r="K8" s="2" t="n">
        <f aca="false">IF(H8&lt;=PERCENTILE($H$2:$H$230,설명!$B$26),1,0)</f>
        <v>0</v>
      </c>
      <c r="L8" s="2" t="n">
        <f aca="false">IF(I8=0,1,0)</f>
        <v>0</v>
      </c>
      <c r="M8" s="2" t="n">
        <f aca="false">L8</f>
        <v>0</v>
      </c>
      <c r="N8" s="9" t="n">
        <v>0.5977</v>
      </c>
      <c r="O8" s="2" t="n">
        <f aca="false">RANK(N8,$N$2:$N$230,0)</f>
        <v>7</v>
      </c>
      <c r="P8" s="2" t="n">
        <f aca="false">IF(O8&lt;=설명!$B$25,1,0)</f>
        <v>1</v>
      </c>
      <c r="Q8" s="2" t="str">
        <f aca="false">IF(AND(M8=1,P8=1),"① 최우선 지원",IF(P8=1,"② 예방 대상",IF(M8=1,"③ 구조적 공백","④ 관찰")))</f>
        <v>② 예방 대상</v>
      </c>
      <c r="R8" s="9" t="n">
        <v>0.6213</v>
      </c>
      <c r="S8" s="2" t="n">
        <f aca="false">RANK(R8,$R$2:$R$230,0)</f>
        <v>5</v>
      </c>
    </row>
    <row r="9" customFormat="false" ht="15" hidden="false" customHeight="false" outlineLevel="0" collapsed="false">
      <c r="A9" s="2" t="s">
        <v>70</v>
      </c>
      <c r="B9" s="3" t="s">
        <v>71</v>
      </c>
      <c r="C9" s="3" t="s">
        <v>72</v>
      </c>
      <c r="D9" s="2" t="n">
        <v>2024</v>
      </c>
      <c r="E9" s="2" t="n">
        <v>2027</v>
      </c>
      <c r="F9" s="2" t="n">
        <v>6686</v>
      </c>
      <c r="G9" s="2" t="n">
        <v>124</v>
      </c>
      <c r="H9" s="8" t="n">
        <v>18.5462159736763</v>
      </c>
      <c r="I9" s="2" t="n">
        <v>16</v>
      </c>
      <c r="J9" s="2" t="n">
        <v>35</v>
      </c>
      <c r="K9" s="2" t="n">
        <f aca="false">IF(H9&lt;=PERCENTILE($H$2:$H$230,설명!$B$26),1,0)</f>
        <v>0</v>
      </c>
      <c r="L9" s="2" t="n">
        <f aca="false">IF(I9=0,1,0)</f>
        <v>0</v>
      </c>
      <c r="M9" s="2" t="n">
        <f aca="false">L9</f>
        <v>0</v>
      </c>
      <c r="N9" s="9" t="n">
        <v>0.5652</v>
      </c>
      <c r="O9" s="2" t="n">
        <f aca="false">RANK(N9,$N$2:$N$230,0)</f>
        <v>8</v>
      </c>
      <c r="P9" s="2" t="n">
        <f aca="false">IF(O9&lt;=설명!$B$25,1,0)</f>
        <v>1</v>
      </c>
      <c r="Q9" s="2" t="str">
        <f aca="false">IF(AND(M9=1,P9=1),"① 최우선 지원",IF(P9=1,"② 예방 대상",IF(M9=1,"③ 구조적 공백","④ 관찰")))</f>
        <v>② 예방 대상</v>
      </c>
      <c r="R9" s="9" t="n">
        <v>0.5217</v>
      </c>
      <c r="S9" s="2" t="n">
        <f aca="false">RANK(R9,$R$2:$R$230,0)</f>
        <v>13</v>
      </c>
    </row>
    <row r="10" customFormat="false" ht="15" hidden="false" customHeight="false" outlineLevel="0" collapsed="false">
      <c r="A10" s="2" t="s">
        <v>73</v>
      </c>
      <c r="B10" s="3" t="s">
        <v>54</v>
      </c>
      <c r="C10" s="3" t="s">
        <v>74</v>
      </c>
      <c r="D10" s="2" t="n">
        <v>2024</v>
      </c>
      <c r="E10" s="2" t="n">
        <v>2027</v>
      </c>
      <c r="F10" s="2" t="n">
        <v>2382</v>
      </c>
      <c r="G10" s="2" t="n">
        <v>49</v>
      </c>
      <c r="H10" s="8" t="n">
        <v>20.5709487825357</v>
      </c>
      <c r="I10" s="2" t="n">
        <v>5</v>
      </c>
      <c r="J10" s="2" t="n">
        <v>9</v>
      </c>
      <c r="K10" s="2" t="n">
        <f aca="false">IF(H10&lt;=PERCENTILE($H$2:$H$230,설명!$B$26),1,0)</f>
        <v>0</v>
      </c>
      <c r="L10" s="2" t="n">
        <f aca="false">IF(I10=0,1,0)</f>
        <v>0</v>
      </c>
      <c r="M10" s="2" t="n">
        <f aca="false">L10</f>
        <v>0</v>
      </c>
      <c r="N10" s="9" t="n">
        <v>0.5618</v>
      </c>
      <c r="O10" s="2" t="n">
        <f aca="false">RANK(N10,$N$2:$N$230,0)</f>
        <v>9</v>
      </c>
      <c r="P10" s="2" t="n">
        <f aca="false">IF(O10&lt;=설명!$B$25,1,0)</f>
        <v>1</v>
      </c>
      <c r="Q10" s="2" t="str">
        <f aca="false">IF(AND(M10=1,P10=1),"① 최우선 지원",IF(P10=1,"② 예방 대상",IF(M10=1,"③ 구조적 공백","④ 관찰")))</f>
        <v>② 예방 대상</v>
      </c>
      <c r="R10" s="9" t="n">
        <v>0.5361</v>
      </c>
      <c r="S10" s="2" t="n">
        <f aca="false">RANK(R10,$R$2:$R$230,0)</f>
        <v>10</v>
      </c>
    </row>
    <row r="11" customFormat="false" ht="15" hidden="false" customHeight="false" outlineLevel="0" collapsed="false">
      <c r="A11" s="2" t="s">
        <v>75</v>
      </c>
      <c r="B11" s="3" t="s">
        <v>76</v>
      </c>
      <c r="C11" s="3" t="s">
        <v>77</v>
      </c>
      <c r="D11" s="2" t="n">
        <v>2024</v>
      </c>
      <c r="E11" s="2" t="n">
        <v>2027</v>
      </c>
      <c r="F11" s="2" t="n">
        <v>2433</v>
      </c>
      <c r="G11" s="2" t="n">
        <v>64</v>
      </c>
      <c r="H11" s="8" t="n">
        <v>26.3049732840115</v>
      </c>
      <c r="I11" s="2" t="n">
        <v>6</v>
      </c>
      <c r="J11" s="2" t="n">
        <v>6</v>
      </c>
      <c r="K11" s="2" t="n">
        <f aca="false">IF(H11&lt;=PERCENTILE($H$2:$H$230,설명!$B$26),1,0)</f>
        <v>0</v>
      </c>
      <c r="L11" s="2" t="n">
        <f aca="false">IF(I11=0,1,0)</f>
        <v>0</v>
      </c>
      <c r="M11" s="2" t="n">
        <f aca="false">L11</f>
        <v>0</v>
      </c>
      <c r="N11" s="9" t="n">
        <v>0.5613</v>
      </c>
      <c r="O11" s="2" t="n">
        <f aca="false">RANK(N11,$N$2:$N$230,0)</f>
        <v>10</v>
      </c>
      <c r="P11" s="2" t="n">
        <f aca="false">IF(O11&lt;=설명!$B$25,1,0)</f>
        <v>1</v>
      </c>
      <c r="Q11" s="2" t="str">
        <f aca="false">IF(AND(M11=1,P11=1),"① 최우선 지원",IF(P11=1,"② 예방 대상",IF(M11=1,"③ 구조적 공백","④ 관찰")))</f>
        <v>② 예방 대상</v>
      </c>
      <c r="R11" s="9" t="n">
        <v>0.6461</v>
      </c>
      <c r="S11" s="2" t="n">
        <f aca="false">RANK(R11,$R$2:$R$230,0)</f>
        <v>3</v>
      </c>
    </row>
    <row r="12" customFormat="false" ht="15" hidden="false" customHeight="false" outlineLevel="0" collapsed="false">
      <c r="A12" s="2" t="s">
        <v>78</v>
      </c>
      <c r="B12" s="3" t="s">
        <v>79</v>
      </c>
      <c r="C12" s="3" t="s">
        <v>80</v>
      </c>
      <c r="D12" s="2" t="n">
        <v>2024</v>
      </c>
      <c r="E12" s="2" t="n">
        <v>2027</v>
      </c>
      <c r="F12" s="2" t="n">
        <v>6472</v>
      </c>
      <c r="G12" s="2" t="n">
        <v>122</v>
      </c>
      <c r="H12" s="8" t="n">
        <v>18.8504326328801</v>
      </c>
      <c r="I12" s="2" t="n">
        <v>8</v>
      </c>
      <c r="J12" s="2" t="n">
        <v>25</v>
      </c>
      <c r="K12" s="2" t="n">
        <f aca="false">IF(H12&lt;=PERCENTILE($H$2:$H$230,설명!$B$26),1,0)</f>
        <v>0</v>
      </c>
      <c r="L12" s="2" t="n">
        <f aca="false">IF(I12=0,1,0)</f>
        <v>0</v>
      </c>
      <c r="M12" s="2" t="n">
        <f aca="false">L12</f>
        <v>0</v>
      </c>
      <c r="N12" s="9" t="n">
        <v>0.552</v>
      </c>
      <c r="O12" s="2" t="n">
        <f aca="false">RANK(N12,$N$2:$N$230,0)</f>
        <v>11</v>
      </c>
      <c r="P12" s="2" t="n">
        <f aca="false">IF(O12&lt;=설명!$B$25,1,0)</f>
        <v>1</v>
      </c>
      <c r="Q12" s="2" t="str">
        <f aca="false">IF(AND(M12=1,P12=1),"① 최우선 지원",IF(P12=1,"② 예방 대상",IF(M12=1,"③ 구조적 공백","④ 관찰")))</f>
        <v>② 예방 대상</v>
      </c>
      <c r="R12" s="9" t="n">
        <v>0.5222</v>
      </c>
      <c r="S12" s="2" t="n">
        <f aca="false">RANK(R12,$R$2:$R$230,0)</f>
        <v>12</v>
      </c>
    </row>
    <row r="13" customFormat="false" ht="15" hidden="false" customHeight="false" outlineLevel="0" collapsed="false">
      <c r="A13" s="2" t="s">
        <v>81</v>
      </c>
      <c r="B13" s="3" t="s">
        <v>54</v>
      </c>
      <c r="C13" s="3" t="s">
        <v>82</v>
      </c>
      <c r="D13" s="2" t="n">
        <v>2024</v>
      </c>
      <c r="E13" s="2" t="n">
        <v>2027</v>
      </c>
      <c r="F13" s="2" t="n">
        <v>1026</v>
      </c>
      <c r="G13" s="2" t="n">
        <v>31</v>
      </c>
      <c r="H13" s="8" t="n">
        <v>30.2144249512671</v>
      </c>
      <c r="I13" s="2" t="n">
        <v>0</v>
      </c>
      <c r="J13" s="2" t="n">
        <v>1</v>
      </c>
      <c r="K13" s="2" t="n">
        <f aca="false">IF(H13&lt;=PERCENTILE($H$2:$H$230,설명!$B$26),1,0)</f>
        <v>0</v>
      </c>
      <c r="L13" s="2" t="n">
        <f aca="false">IF(I13=0,1,0)</f>
        <v>1</v>
      </c>
      <c r="M13" s="2" t="n">
        <f aca="false">L13</f>
        <v>1</v>
      </c>
      <c r="N13" s="9" t="n">
        <v>0.5454</v>
      </c>
      <c r="O13" s="2" t="n">
        <f aca="false">RANK(N13,$N$2:$N$230,0)</f>
        <v>12</v>
      </c>
      <c r="P13" s="2" t="n">
        <f aca="false">IF(O13&lt;=설명!$B$25,1,0)</f>
        <v>1</v>
      </c>
      <c r="Q13" s="2" t="str">
        <f aca="false">IF(AND(M13=1,P13=1),"① 최우선 지원",IF(P13=1,"② 예방 대상",IF(M13=1,"③ 구조적 공백","④ 관찰")))</f>
        <v>① 최우선 지원</v>
      </c>
      <c r="R13" s="9" t="n">
        <v>0.5309</v>
      </c>
      <c r="S13" s="2" t="n">
        <f aca="false">RANK(R13,$R$2:$R$230,0)</f>
        <v>11</v>
      </c>
    </row>
    <row r="14" customFormat="false" ht="15" hidden="false" customHeight="false" outlineLevel="0" collapsed="false">
      <c r="A14" s="2" t="s">
        <v>83</v>
      </c>
      <c r="B14" s="3" t="s">
        <v>76</v>
      </c>
      <c r="C14" s="3" t="s">
        <v>84</v>
      </c>
      <c r="D14" s="2" t="n">
        <v>2024</v>
      </c>
      <c r="E14" s="2" t="n">
        <v>2027</v>
      </c>
      <c r="F14" s="2" t="n">
        <v>14239</v>
      </c>
      <c r="G14" s="2" t="n">
        <v>282</v>
      </c>
      <c r="H14" s="8" t="n">
        <v>19.804761570335</v>
      </c>
      <c r="I14" s="2" t="n">
        <v>19</v>
      </c>
      <c r="J14" s="2" t="n">
        <v>51</v>
      </c>
      <c r="K14" s="2" t="n">
        <f aca="false">IF(H14&lt;=PERCENTILE($H$2:$H$230,설명!$B$26),1,0)</f>
        <v>0</v>
      </c>
      <c r="L14" s="2" t="n">
        <f aca="false">IF(I14=0,1,0)</f>
        <v>0</v>
      </c>
      <c r="M14" s="2" t="n">
        <f aca="false">L14</f>
        <v>0</v>
      </c>
      <c r="N14" s="9" t="n">
        <v>0.5396</v>
      </c>
      <c r="O14" s="2" t="n">
        <f aca="false">RANK(N14,$N$2:$N$230,0)</f>
        <v>13</v>
      </c>
      <c r="P14" s="2" t="n">
        <f aca="false">IF(O14&lt;=설명!$B$25,1,0)</f>
        <v>1</v>
      </c>
      <c r="Q14" s="2" t="str">
        <f aca="false">IF(AND(M14=1,P14=1),"① 최우선 지원",IF(P14=1,"② 예방 대상",IF(M14=1,"③ 구조적 공백","④ 관찰")))</f>
        <v>② 예방 대상</v>
      </c>
      <c r="R14" s="9" t="n">
        <v>0.5797</v>
      </c>
      <c r="S14" s="2" t="n">
        <f aca="false">RANK(R14,$R$2:$R$230,0)</f>
        <v>8</v>
      </c>
    </row>
    <row r="15" customFormat="false" ht="15" hidden="false" customHeight="false" outlineLevel="0" collapsed="false">
      <c r="A15" s="2" t="s">
        <v>85</v>
      </c>
      <c r="B15" s="3" t="s">
        <v>54</v>
      </c>
      <c r="C15" s="3" t="s">
        <v>86</v>
      </c>
      <c r="D15" s="2" t="n">
        <v>2024</v>
      </c>
      <c r="E15" s="2" t="n">
        <v>2027</v>
      </c>
      <c r="F15" s="2" t="n">
        <v>2736</v>
      </c>
      <c r="G15" s="2" t="n">
        <v>61</v>
      </c>
      <c r="H15" s="8" t="n">
        <v>22.2953216374269</v>
      </c>
      <c r="I15" s="2" t="n">
        <v>2</v>
      </c>
      <c r="J15" s="2" t="n">
        <v>13</v>
      </c>
      <c r="K15" s="2" t="n">
        <f aca="false">IF(H15&lt;=PERCENTILE($H$2:$H$230,설명!$B$26),1,0)</f>
        <v>0</v>
      </c>
      <c r="L15" s="2" t="n">
        <f aca="false">IF(I15=0,1,0)</f>
        <v>0</v>
      </c>
      <c r="M15" s="2" t="n">
        <f aca="false">L15</f>
        <v>0</v>
      </c>
      <c r="N15" s="9" t="n">
        <v>0.5081</v>
      </c>
      <c r="O15" s="2" t="n">
        <f aca="false">RANK(N15,$N$2:$N$230,0)</f>
        <v>14</v>
      </c>
      <c r="P15" s="2" t="n">
        <f aca="false">IF(O15&lt;=설명!$B$25,1,0)</f>
        <v>1</v>
      </c>
      <c r="Q15" s="2" t="str">
        <f aca="false">IF(AND(M15=1,P15=1),"① 최우선 지원",IF(P15=1,"② 예방 대상",IF(M15=1,"③ 구조적 공백","④ 관찰")))</f>
        <v>② 예방 대상</v>
      </c>
      <c r="R15" s="9" t="n">
        <v>0.43</v>
      </c>
      <c r="S15" s="2" t="n">
        <f aca="false">RANK(R15,$R$2:$R$230,0)</f>
        <v>34</v>
      </c>
    </row>
    <row r="16" customFormat="false" ht="15" hidden="false" customHeight="false" outlineLevel="0" collapsed="false">
      <c r="A16" s="2" t="s">
        <v>87</v>
      </c>
      <c r="B16" s="3" t="s">
        <v>79</v>
      </c>
      <c r="C16" s="3" t="s">
        <v>88</v>
      </c>
      <c r="D16" s="2" t="n">
        <v>2024</v>
      </c>
      <c r="E16" s="2" t="n">
        <v>2027</v>
      </c>
      <c r="F16" s="2" t="n">
        <v>4177</v>
      </c>
      <c r="G16" s="2" t="n">
        <v>77</v>
      </c>
      <c r="H16" s="8" t="n">
        <v>18.434282978214</v>
      </c>
      <c r="I16" s="2" t="n">
        <v>6</v>
      </c>
      <c r="J16" s="2" t="n">
        <v>18</v>
      </c>
      <c r="K16" s="2" t="n">
        <f aca="false">IF(H16&lt;=PERCENTILE($H$2:$H$230,설명!$B$26),1,0)</f>
        <v>0</v>
      </c>
      <c r="L16" s="2" t="n">
        <f aca="false">IF(I16=0,1,0)</f>
        <v>0</v>
      </c>
      <c r="M16" s="2" t="n">
        <f aca="false">L16</f>
        <v>0</v>
      </c>
      <c r="N16" s="9" t="n">
        <v>0.5079</v>
      </c>
      <c r="O16" s="2" t="n">
        <f aca="false">RANK(N16,$N$2:$N$230,0)</f>
        <v>15</v>
      </c>
      <c r="P16" s="2" t="n">
        <f aca="false">IF(O16&lt;=설명!$B$25,1,0)</f>
        <v>1</v>
      </c>
      <c r="Q16" s="2" t="str">
        <f aca="false">IF(AND(M16=1,P16=1),"① 최우선 지원",IF(P16=1,"② 예방 대상",IF(M16=1,"③ 구조적 공백","④ 관찰")))</f>
        <v>② 예방 대상</v>
      </c>
      <c r="R16" s="9" t="n">
        <v>0.4667</v>
      </c>
      <c r="S16" s="2" t="n">
        <f aca="false">RANK(R16,$R$2:$R$230,0)</f>
        <v>21</v>
      </c>
    </row>
    <row r="17" customFormat="false" ht="15" hidden="false" customHeight="false" outlineLevel="0" collapsed="false">
      <c r="A17" s="2" t="s">
        <v>89</v>
      </c>
      <c r="B17" s="3" t="s">
        <v>90</v>
      </c>
      <c r="C17" s="3" t="s">
        <v>91</v>
      </c>
      <c r="D17" s="2" t="n">
        <v>2024</v>
      </c>
      <c r="E17" s="2" t="n">
        <v>2027</v>
      </c>
      <c r="F17" s="2" t="n">
        <v>5249</v>
      </c>
      <c r="G17" s="2" t="n">
        <v>131</v>
      </c>
      <c r="H17" s="8" t="n">
        <v>24.9571346923224</v>
      </c>
      <c r="I17" s="2" t="n">
        <v>2</v>
      </c>
      <c r="J17" s="2" t="n">
        <v>28</v>
      </c>
      <c r="K17" s="2" t="n">
        <f aca="false">IF(H17&lt;=PERCENTILE($H$2:$H$230,설명!$B$26),1,0)</f>
        <v>0</v>
      </c>
      <c r="L17" s="2" t="n">
        <f aca="false">IF(I17=0,1,0)</f>
        <v>0</v>
      </c>
      <c r="M17" s="2" t="n">
        <f aca="false">L17</f>
        <v>0</v>
      </c>
      <c r="N17" s="9" t="n">
        <v>0.5075</v>
      </c>
      <c r="O17" s="2" t="n">
        <f aca="false">RANK(N17,$N$2:$N$230,0)</f>
        <v>16</v>
      </c>
      <c r="P17" s="2" t="n">
        <f aca="false">IF(O17&lt;=설명!$B$25,1,0)</f>
        <v>1</v>
      </c>
      <c r="Q17" s="2" t="str">
        <f aca="false">IF(AND(M17=1,P17=1),"① 최우선 지원",IF(P17=1,"② 예방 대상",IF(M17=1,"③ 구조적 공백","④ 관찰")))</f>
        <v>② 예방 대상</v>
      </c>
      <c r="R17" s="9" t="n">
        <v>0.5212</v>
      </c>
      <c r="S17" s="2" t="n">
        <f aca="false">RANK(R17,$R$2:$R$230,0)</f>
        <v>14</v>
      </c>
    </row>
    <row r="18" customFormat="false" ht="15" hidden="false" customHeight="false" outlineLevel="0" collapsed="false">
      <c r="A18" s="2" t="s">
        <v>92</v>
      </c>
      <c r="B18" s="3" t="s">
        <v>93</v>
      </c>
      <c r="C18" s="3" t="s">
        <v>94</v>
      </c>
      <c r="D18" s="2" t="n">
        <v>2024</v>
      </c>
      <c r="E18" s="2" t="n">
        <v>2027</v>
      </c>
      <c r="F18" s="2" t="n">
        <v>7560</v>
      </c>
      <c r="G18" s="2" t="n">
        <v>143</v>
      </c>
      <c r="H18" s="8" t="n">
        <v>18.9153439153439</v>
      </c>
      <c r="I18" s="2" t="n">
        <v>7</v>
      </c>
      <c r="J18" s="2" t="n">
        <v>46</v>
      </c>
      <c r="K18" s="2" t="n">
        <f aca="false">IF(H18&lt;=PERCENTILE($H$2:$H$230,설명!$B$26),1,0)</f>
        <v>0</v>
      </c>
      <c r="L18" s="2" t="n">
        <f aca="false">IF(I18=0,1,0)</f>
        <v>0</v>
      </c>
      <c r="M18" s="2" t="n">
        <f aca="false">L18</f>
        <v>0</v>
      </c>
      <c r="N18" s="9" t="n">
        <v>0.5011</v>
      </c>
      <c r="O18" s="2" t="n">
        <f aca="false">RANK(N18,$N$2:$N$230,0)</f>
        <v>17</v>
      </c>
      <c r="P18" s="2" t="n">
        <f aca="false">IF(O18&lt;=설명!$B$25,1,0)</f>
        <v>1</v>
      </c>
      <c r="Q18" s="2" t="str">
        <f aca="false">IF(AND(M18=1,P18=1),"① 최우선 지원",IF(P18=1,"② 예방 대상",IF(M18=1,"③ 구조적 공백","④ 관찰")))</f>
        <v>② 예방 대상</v>
      </c>
      <c r="R18" s="9" t="n">
        <v>0.6091</v>
      </c>
      <c r="S18" s="2" t="n">
        <f aca="false">RANK(R18,$R$2:$R$230,0)</f>
        <v>7</v>
      </c>
    </row>
    <row r="19" customFormat="false" ht="15" hidden="false" customHeight="false" outlineLevel="0" collapsed="false">
      <c r="A19" s="2" t="s">
        <v>95</v>
      </c>
      <c r="B19" s="3" t="s">
        <v>54</v>
      </c>
      <c r="C19" s="3" t="s">
        <v>96</v>
      </c>
      <c r="D19" s="2" t="n">
        <v>2024</v>
      </c>
      <c r="E19" s="2" t="n">
        <v>2027</v>
      </c>
      <c r="F19" s="2" t="n">
        <v>605</v>
      </c>
      <c r="G19" s="2" t="n">
        <v>12</v>
      </c>
      <c r="H19" s="8" t="n">
        <v>19.8347107438017</v>
      </c>
      <c r="I19" s="2" t="n">
        <v>0</v>
      </c>
      <c r="J19" s="2" t="n">
        <v>1</v>
      </c>
      <c r="K19" s="2" t="n">
        <f aca="false">IF(H19&lt;=PERCENTILE($H$2:$H$230,설명!$B$26),1,0)</f>
        <v>0</v>
      </c>
      <c r="L19" s="2" t="n">
        <f aca="false">IF(I19=0,1,0)</f>
        <v>1</v>
      </c>
      <c r="M19" s="2" t="n">
        <f aca="false">L19</f>
        <v>1</v>
      </c>
      <c r="N19" s="9" t="n">
        <v>0.4973</v>
      </c>
      <c r="O19" s="2" t="n">
        <f aca="false">RANK(N19,$N$2:$N$230,0)</f>
        <v>18</v>
      </c>
      <c r="P19" s="2" t="n">
        <f aca="false">IF(O19&lt;=설명!$B$25,1,0)</f>
        <v>1</v>
      </c>
      <c r="Q19" s="2" t="str">
        <f aca="false">IF(AND(M19=1,P19=1),"① 최우선 지원",IF(P19=1,"② 예방 대상",IF(M19=1,"③ 구조적 공백","④ 관찰")))</f>
        <v>① 최우선 지원</v>
      </c>
      <c r="R19" s="9" t="n">
        <v>0.4957</v>
      </c>
      <c r="S19" s="2" t="n">
        <f aca="false">RANK(R19,$R$2:$R$230,0)</f>
        <v>18</v>
      </c>
    </row>
    <row r="20" customFormat="false" ht="15" hidden="false" customHeight="false" outlineLevel="0" collapsed="false">
      <c r="A20" s="2" t="s">
        <v>97</v>
      </c>
      <c r="B20" s="3" t="s">
        <v>71</v>
      </c>
      <c r="C20" s="3" t="s">
        <v>98</v>
      </c>
      <c r="D20" s="2" t="n">
        <v>2024</v>
      </c>
      <c r="E20" s="2" t="n">
        <v>2027</v>
      </c>
      <c r="F20" s="2" t="n">
        <v>12350</v>
      </c>
      <c r="G20" s="2" t="n">
        <v>228</v>
      </c>
      <c r="H20" s="8" t="n">
        <v>18.4615384615385</v>
      </c>
      <c r="I20" s="2" t="n">
        <v>30</v>
      </c>
      <c r="J20" s="2" t="n">
        <v>57</v>
      </c>
      <c r="K20" s="2" t="n">
        <f aca="false">IF(H20&lt;=PERCENTILE($H$2:$H$230,설명!$B$26),1,0)</f>
        <v>0</v>
      </c>
      <c r="L20" s="2" t="n">
        <f aca="false">IF(I20=0,1,0)</f>
        <v>0</v>
      </c>
      <c r="M20" s="2" t="n">
        <f aca="false">L20</f>
        <v>0</v>
      </c>
      <c r="N20" s="9" t="n">
        <v>0.4948</v>
      </c>
      <c r="O20" s="2" t="n">
        <f aca="false">RANK(N20,$N$2:$N$230,0)</f>
        <v>19</v>
      </c>
      <c r="P20" s="2" t="n">
        <f aca="false">IF(O20&lt;=설명!$B$25,1,0)</f>
        <v>1</v>
      </c>
      <c r="Q20" s="2" t="str">
        <f aca="false">IF(AND(M20=1,P20=1),"① 최우선 지원",IF(P20=1,"② 예방 대상",IF(M20=1,"③ 구조적 공백","④ 관찰")))</f>
        <v>② 예방 대상</v>
      </c>
      <c r="R20" s="9" t="n">
        <v>0.4888</v>
      </c>
      <c r="S20" s="2" t="n">
        <f aca="false">RANK(R20,$R$2:$R$230,0)</f>
        <v>19</v>
      </c>
    </row>
    <row r="21" customFormat="false" ht="15" hidden="false" customHeight="false" outlineLevel="0" collapsed="false">
      <c r="A21" s="2" t="s">
        <v>99</v>
      </c>
      <c r="B21" s="3" t="s">
        <v>93</v>
      </c>
      <c r="C21" s="3" t="s">
        <v>100</v>
      </c>
      <c r="D21" s="2" t="n">
        <v>2024</v>
      </c>
      <c r="E21" s="2" t="n">
        <v>2027</v>
      </c>
      <c r="F21" s="2" t="n">
        <v>13880</v>
      </c>
      <c r="G21" s="2" t="n">
        <v>289</v>
      </c>
      <c r="H21" s="8" t="n">
        <v>20.821325648415</v>
      </c>
      <c r="I21" s="2" t="n">
        <v>11</v>
      </c>
      <c r="J21" s="2" t="n">
        <v>59</v>
      </c>
      <c r="K21" s="2" t="n">
        <f aca="false">IF(H21&lt;=PERCENTILE($H$2:$H$230,설명!$B$26),1,0)</f>
        <v>0</v>
      </c>
      <c r="L21" s="2" t="n">
        <f aca="false">IF(I21=0,1,0)</f>
        <v>0</v>
      </c>
      <c r="M21" s="2" t="n">
        <f aca="false">L21</f>
        <v>0</v>
      </c>
      <c r="N21" s="9" t="n">
        <v>0.4651</v>
      </c>
      <c r="O21" s="2" t="n">
        <f aca="false">RANK(N21,$N$2:$N$230,0)</f>
        <v>20</v>
      </c>
      <c r="P21" s="2" t="n">
        <f aca="false">IF(O21&lt;=설명!$B$25,1,0)</f>
        <v>1</v>
      </c>
      <c r="Q21" s="2" t="str">
        <f aca="false">IF(AND(M21=1,P21=1),"① 최우선 지원",IF(P21=1,"② 예방 대상",IF(M21=1,"③ 구조적 공백","④ 관찰")))</f>
        <v>② 예방 대상</v>
      </c>
      <c r="R21" s="9" t="n">
        <v>0.6402</v>
      </c>
      <c r="S21" s="2" t="n">
        <f aca="false">RANK(R21,$R$2:$R$230,0)</f>
        <v>4</v>
      </c>
    </row>
    <row r="22" customFormat="false" ht="15" hidden="false" customHeight="false" outlineLevel="0" collapsed="false">
      <c r="A22" s="2" t="s">
        <v>101</v>
      </c>
      <c r="B22" s="3" t="s">
        <v>79</v>
      </c>
      <c r="C22" s="3" t="s">
        <v>102</v>
      </c>
      <c r="D22" s="2" t="n">
        <v>2024</v>
      </c>
      <c r="E22" s="2" t="n">
        <v>2027</v>
      </c>
      <c r="F22" s="2" t="n">
        <v>6781</v>
      </c>
      <c r="G22" s="2" t="n">
        <v>122</v>
      </c>
      <c r="H22" s="8" t="n">
        <v>17.9914466892789</v>
      </c>
      <c r="I22" s="2" t="n">
        <v>13</v>
      </c>
      <c r="J22" s="2" t="n">
        <v>34</v>
      </c>
      <c r="K22" s="2" t="n">
        <f aca="false">IF(H22&lt;=PERCENTILE($H$2:$H$230,설명!$B$26),1,0)</f>
        <v>0</v>
      </c>
      <c r="L22" s="2" t="n">
        <f aca="false">IF(I22=0,1,0)</f>
        <v>0</v>
      </c>
      <c r="M22" s="2" t="n">
        <f aca="false">L22</f>
        <v>0</v>
      </c>
      <c r="N22" s="9" t="n">
        <v>0.4508</v>
      </c>
      <c r="O22" s="2" t="n">
        <f aca="false">RANK(N22,$N$2:$N$230,0)</f>
        <v>21</v>
      </c>
      <c r="P22" s="2" t="n">
        <f aca="false">IF(O22&lt;=설명!$B$25,1,0)</f>
        <v>1</v>
      </c>
      <c r="Q22" s="2" t="str">
        <f aca="false">IF(AND(M22=1,P22=1),"① 최우선 지원",IF(P22=1,"② 예방 대상",IF(M22=1,"③ 구조적 공백","④ 관찰")))</f>
        <v>② 예방 대상</v>
      </c>
      <c r="R22" s="9" t="n">
        <v>0.4486</v>
      </c>
      <c r="S22" s="2" t="n">
        <f aca="false">RANK(R22,$R$2:$R$230,0)</f>
        <v>27</v>
      </c>
    </row>
    <row r="23" customFormat="false" ht="15" hidden="false" customHeight="false" outlineLevel="0" collapsed="false">
      <c r="A23" s="2" t="s">
        <v>103</v>
      </c>
      <c r="B23" s="3" t="s">
        <v>79</v>
      </c>
      <c r="C23" s="3" t="s">
        <v>104</v>
      </c>
      <c r="D23" s="2" t="n">
        <v>2024</v>
      </c>
      <c r="E23" s="2" t="n">
        <v>2027</v>
      </c>
      <c r="F23" s="2" t="n">
        <v>324</v>
      </c>
      <c r="G23" s="2" t="n">
        <v>10</v>
      </c>
      <c r="H23" s="8" t="n">
        <v>30.8641975308642</v>
      </c>
      <c r="I23" s="2" t="n">
        <v>1</v>
      </c>
      <c r="J23" s="2" t="n">
        <v>4</v>
      </c>
      <c r="K23" s="2" t="n">
        <f aca="false">IF(H23&lt;=PERCENTILE($H$2:$H$230,설명!$B$26),1,0)</f>
        <v>0</v>
      </c>
      <c r="L23" s="2" t="n">
        <f aca="false">IF(I23=0,1,0)</f>
        <v>0</v>
      </c>
      <c r="M23" s="2" t="n">
        <f aca="false">L23</f>
        <v>0</v>
      </c>
      <c r="N23" s="9" t="n">
        <v>0.4507</v>
      </c>
      <c r="O23" s="2" t="n">
        <f aca="false">RANK(N23,$N$2:$N$230,0)</f>
        <v>22</v>
      </c>
      <c r="P23" s="2" t="n">
        <f aca="false">IF(O23&lt;=설명!$B$25,1,0)</f>
        <v>1</v>
      </c>
      <c r="Q23" s="2" t="str">
        <f aca="false">IF(AND(M23=1,P23=1),"① 최우선 지원",IF(P23=1,"② 예방 대상",IF(M23=1,"③ 구조적 공백","④ 관찰")))</f>
        <v>② 예방 대상</v>
      </c>
      <c r="R23" s="9" t="n">
        <v>0.4277</v>
      </c>
      <c r="S23" s="2" t="n">
        <f aca="false">RANK(R23,$R$2:$R$230,0)</f>
        <v>35</v>
      </c>
    </row>
    <row r="24" customFormat="false" ht="15" hidden="false" customHeight="false" outlineLevel="0" collapsed="false">
      <c r="A24" s="2" t="s">
        <v>105</v>
      </c>
      <c r="B24" s="3" t="s">
        <v>66</v>
      </c>
      <c r="C24" s="3" t="s">
        <v>106</v>
      </c>
      <c r="D24" s="2" t="n">
        <v>2024</v>
      </c>
      <c r="E24" s="2" t="n">
        <v>2027</v>
      </c>
      <c r="F24" s="2" t="n">
        <v>3109</v>
      </c>
      <c r="G24" s="2" t="n">
        <v>72</v>
      </c>
      <c r="H24" s="8" t="n">
        <v>23.1585718880669</v>
      </c>
      <c r="I24" s="2" t="n">
        <v>5</v>
      </c>
      <c r="J24" s="2" t="n">
        <v>11</v>
      </c>
      <c r="K24" s="2" t="n">
        <f aca="false">IF(H24&lt;=PERCENTILE($H$2:$H$230,설명!$B$26),1,0)</f>
        <v>0</v>
      </c>
      <c r="L24" s="2" t="n">
        <f aca="false">IF(I24=0,1,0)</f>
        <v>0</v>
      </c>
      <c r="M24" s="2" t="n">
        <f aca="false">L24</f>
        <v>0</v>
      </c>
      <c r="N24" s="9" t="n">
        <v>0.4491</v>
      </c>
      <c r="O24" s="2" t="n">
        <f aca="false">RANK(N24,$N$2:$N$230,0)</f>
        <v>23</v>
      </c>
      <c r="P24" s="2" t="n">
        <f aca="false">IF(O24&lt;=설명!$B$25,1,0)</f>
        <v>1</v>
      </c>
      <c r="Q24" s="2" t="str">
        <f aca="false">IF(AND(M24=1,P24=1),"① 최우선 지원",IF(P24=1,"② 예방 대상",IF(M24=1,"③ 구조적 공백","④ 관찰")))</f>
        <v>② 예방 대상</v>
      </c>
      <c r="R24" s="9" t="n">
        <v>0.5027</v>
      </c>
      <c r="S24" s="2" t="n">
        <f aca="false">RANK(R24,$R$2:$R$230,0)</f>
        <v>17</v>
      </c>
    </row>
    <row r="25" customFormat="false" ht="15" hidden="false" customHeight="false" outlineLevel="0" collapsed="false">
      <c r="A25" s="2" t="s">
        <v>107</v>
      </c>
      <c r="B25" s="3" t="s">
        <v>108</v>
      </c>
      <c r="C25" s="3" t="s">
        <v>109</v>
      </c>
      <c r="D25" s="2" t="n">
        <v>2024</v>
      </c>
      <c r="E25" s="2" t="n">
        <v>2027</v>
      </c>
      <c r="F25" s="2" t="n">
        <v>4436</v>
      </c>
      <c r="G25" s="2" t="n">
        <v>89</v>
      </c>
      <c r="H25" s="8" t="n">
        <v>20.0631199278629</v>
      </c>
      <c r="I25" s="2" t="n">
        <v>7</v>
      </c>
      <c r="J25" s="2" t="n">
        <v>13</v>
      </c>
      <c r="K25" s="2" t="n">
        <f aca="false">IF(H25&lt;=PERCENTILE($H$2:$H$230,설명!$B$26),1,0)</f>
        <v>0</v>
      </c>
      <c r="L25" s="2" t="n">
        <f aca="false">IF(I25=0,1,0)</f>
        <v>0</v>
      </c>
      <c r="M25" s="2" t="n">
        <f aca="false">L25</f>
        <v>0</v>
      </c>
      <c r="N25" s="9" t="n">
        <v>0.443</v>
      </c>
      <c r="O25" s="2" t="n">
        <f aca="false">RANK(N25,$N$2:$N$230,0)</f>
        <v>24</v>
      </c>
      <c r="P25" s="2" t="n">
        <f aca="false">IF(O25&lt;=설명!$B$25,1,0)</f>
        <v>1</v>
      </c>
      <c r="Q25" s="2" t="str">
        <f aca="false">IF(AND(M25=1,P25=1),"① 최우선 지원",IF(P25=1,"② 예방 대상",IF(M25=1,"③ 구조적 공백","④ 관찰")))</f>
        <v>② 예방 대상</v>
      </c>
      <c r="R25" s="9" t="n">
        <v>0.51</v>
      </c>
      <c r="S25" s="2" t="n">
        <f aca="false">RANK(R25,$R$2:$R$230,0)</f>
        <v>15</v>
      </c>
    </row>
    <row r="26" customFormat="false" ht="15" hidden="false" customHeight="false" outlineLevel="0" collapsed="false">
      <c r="A26" s="2" t="s">
        <v>110</v>
      </c>
      <c r="B26" s="3" t="s">
        <v>63</v>
      </c>
      <c r="C26" s="3" t="s">
        <v>111</v>
      </c>
      <c r="D26" s="2" t="n">
        <v>2024</v>
      </c>
      <c r="E26" s="2" t="n">
        <v>2027</v>
      </c>
      <c r="F26" s="2" t="n">
        <v>6128</v>
      </c>
      <c r="G26" s="2" t="n">
        <v>114</v>
      </c>
      <c r="H26" s="8" t="n">
        <v>18.6031331592689</v>
      </c>
      <c r="I26" s="2" t="n">
        <v>5</v>
      </c>
      <c r="J26" s="2" t="n">
        <v>10</v>
      </c>
      <c r="K26" s="2" t="n">
        <f aca="false">IF(H26&lt;=PERCENTILE($H$2:$H$230,설명!$B$26),1,0)</f>
        <v>0</v>
      </c>
      <c r="L26" s="2" t="n">
        <f aca="false">IF(I26=0,1,0)</f>
        <v>0</v>
      </c>
      <c r="M26" s="2" t="n">
        <f aca="false">L26</f>
        <v>0</v>
      </c>
      <c r="N26" s="9" t="n">
        <v>0.4429</v>
      </c>
      <c r="O26" s="2" t="n">
        <f aca="false">RANK(N26,$N$2:$N$230,0)</f>
        <v>25</v>
      </c>
      <c r="P26" s="2" t="n">
        <f aca="false">IF(O26&lt;=설명!$B$25,1,0)</f>
        <v>1</v>
      </c>
      <c r="Q26" s="2" t="str">
        <f aca="false">IF(AND(M26=1,P26=1),"① 최우선 지원",IF(P26=1,"② 예방 대상",IF(M26=1,"③ 구조적 공백","④ 관찰")))</f>
        <v>② 예방 대상</v>
      </c>
      <c r="R26" s="9" t="n">
        <v>0.3876</v>
      </c>
      <c r="S26" s="2" t="n">
        <f aca="false">RANK(R26,$R$2:$R$230,0)</f>
        <v>41</v>
      </c>
    </row>
    <row r="27" customFormat="false" ht="15" hidden="false" customHeight="false" outlineLevel="0" collapsed="false">
      <c r="A27" s="2" t="s">
        <v>112</v>
      </c>
      <c r="B27" s="3" t="s">
        <v>113</v>
      </c>
      <c r="C27" s="3" t="s">
        <v>114</v>
      </c>
      <c r="D27" s="2" t="n">
        <v>2024</v>
      </c>
      <c r="E27" s="2" t="n">
        <v>2027</v>
      </c>
      <c r="F27" s="2" t="n">
        <v>4582</v>
      </c>
      <c r="G27" s="2" t="n">
        <v>78</v>
      </c>
      <c r="H27" s="8" t="n">
        <v>17.0231340026189</v>
      </c>
      <c r="I27" s="2" t="n">
        <v>4</v>
      </c>
      <c r="J27" s="2" t="n">
        <v>24</v>
      </c>
      <c r="K27" s="2" t="n">
        <f aca="false">IF(H27&lt;=PERCENTILE($H$2:$H$230,설명!$B$26),1,0)</f>
        <v>0</v>
      </c>
      <c r="L27" s="2" t="n">
        <f aca="false">IF(I27=0,1,0)</f>
        <v>0</v>
      </c>
      <c r="M27" s="2" t="n">
        <f aca="false">L27</f>
        <v>0</v>
      </c>
      <c r="N27" s="9" t="n">
        <v>0.4406</v>
      </c>
      <c r="O27" s="2" t="n">
        <f aca="false">RANK(N27,$N$2:$N$230,0)</f>
        <v>26</v>
      </c>
      <c r="P27" s="2" t="n">
        <f aca="false">IF(O27&lt;=설명!$B$25,1,0)</f>
        <v>1</v>
      </c>
      <c r="Q27" s="2" t="str">
        <f aca="false">IF(AND(M27=1,P27=1),"① 최우선 지원",IF(P27=1,"② 예방 대상",IF(M27=1,"③ 구조적 공백","④ 관찰")))</f>
        <v>② 예방 대상</v>
      </c>
      <c r="R27" s="9" t="n">
        <v>0.444</v>
      </c>
      <c r="S27" s="2" t="n">
        <f aca="false">RANK(R27,$R$2:$R$230,0)</f>
        <v>28</v>
      </c>
    </row>
    <row r="28" customFormat="false" ht="15" hidden="false" customHeight="false" outlineLevel="0" collapsed="false">
      <c r="A28" s="2" t="s">
        <v>115</v>
      </c>
      <c r="B28" s="3" t="s">
        <v>54</v>
      </c>
      <c r="C28" s="3" t="s">
        <v>116</v>
      </c>
      <c r="D28" s="2" t="n">
        <v>2024</v>
      </c>
      <c r="E28" s="2" t="n">
        <v>2027</v>
      </c>
      <c r="F28" s="2" t="n">
        <v>10782</v>
      </c>
      <c r="G28" s="2" t="n">
        <v>172</v>
      </c>
      <c r="H28" s="8" t="n">
        <v>15.9525134483398</v>
      </c>
      <c r="I28" s="2" t="n">
        <v>17</v>
      </c>
      <c r="J28" s="2" t="n">
        <v>44</v>
      </c>
      <c r="K28" s="2" t="n">
        <f aca="false">IF(H28&lt;=PERCENTILE($H$2:$H$230,설명!$B$26),1,0)</f>
        <v>0</v>
      </c>
      <c r="L28" s="2" t="n">
        <f aca="false">IF(I28=0,1,0)</f>
        <v>0</v>
      </c>
      <c r="M28" s="2" t="n">
        <f aca="false">L28</f>
        <v>0</v>
      </c>
      <c r="N28" s="9" t="n">
        <v>0.4377</v>
      </c>
      <c r="O28" s="2" t="n">
        <f aca="false">RANK(N28,$N$2:$N$230,0)</f>
        <v>27</v>
      </c>
      <c r="P28" s="2" t="n">
        <f aca="false">IF(O28&lt;=설명!$B$25,1,0)</f>
        <v>1</v>
      </c>
      <c r="Q28" s="2" t="str">
        <f aca="false">IF(AND(M28=1,P28=1),"① 최우선 지원",IF(P28=1,"② 예방 대상",IF(M28=1,"③ 구조적 공백","④ 관찰")))</f>
        <v>② 예방 대상</v>
      </c>
      <c r="R28" s="9" t="n">
        <v>0.3268</v>
      </c>
      <c r="S28" s="2" t="n">
        <f aca="false">RANK(R28,$R$2:$R$230,0)</f>
        <v>71</v>
      </c>
    </row>
    <row r="29" customFormat="false" ht="15" hidden="false" customHeight="false" outlineLevel="0" collapsed="false">
      <c r="A29" s="2" t="s">
        <v>117</v>
      </c>
      <c r="B29" s="3" t="s">
        <v>54</v>
      </c>
      <c r="C29" s="3" t="s">
        <v>118</v>
      </c>
      <c r="D29" s="2" t="n">
        <v>2024</v>
      </c>
      <c r="E29" s="2" t="n">
        <v>2027</v>
      </c>
      <c r="F29" s="2" t="n">
        <v>1927</v>
      </c>
      <c r="G29" s="2" t="n">
        <v>41</v>
      </c>
      <c r="H29" s="8" t="n">
        <v>21.2765957446809</v>
      </c>
      <c r="I29" s="2" t="n">
        <v>1</v>
      </c>
      <c r="J29" s="2" t="n">
        <v>7</v>
      </c>
      <c r="K29" s="2" t="n">
        <f aca="false">IF(H29&lt;=PERCENTILE($H$2:$H$230,설명!$B$26),1,0)</f>
        <v>0</v>
      </c>
      <c r="L29" s="2" t="n">
        <f aca="false">IF(I29=0,1,0)</f>
        <v>0</v>
      </c>
      <c r="M29" s="2" t="n">
        <f aca="false">L29</f>
        <v>0</v>
      </c>
      <c r="N29" s="9" t="n">
        <v>0.4292</v>
      </c>
      <c r="O29" s="2" t="n">
        <f aca="false">RANK(N29,$N$2:$N$230,0)</f>
        <v>28</v>
      </c>
      <c r="P29" s="2" t="n">
        <f aca="false">IF(O29&lt;=설명!$B$25,1,0)</f>
        <v>1</v>
      </c>
      <c r="Q29" s="2" t="str">
        <f aca="false">IF(AND(M29=1,P29=1),"① 최우선 지원",IF(P29=1,"② 예방 대상",IF(M29=1,"③ 구조적 공백","④ 관찰")))</f>
        <v>② 예방 대상</v>
      </c>
      <c r="R29" s="9" t="n">
        <v>0.3879</v>
      </c>
      <c r="S29" s="2" t="n">
        <f aca="false">RANK(R29,$R$2:$R$230,0)</f>
        <v>40</v>
      </c>
    </row>
    <row r="30" customFormat="false" ht="15" hidden="false" customHeight="false" outlineLevel="0" collapsed="false">
      <c r="A30" s="2" t="s">
        <v>119</v>
      </c>
      <c r="B30" s="3" t="s">
        <v>120</v>
      </c>
      <c r="C30" s="3" t="s">
        <v>121</v>
      </c>
      <c r="D30" s="2" t="n">
        <v>2024</v>
      </c>
      <c r="E30" s="2" t="n">
        <v>2027</v>
      </c>
      <c r="F30" s="2" t="n">
        <v>4977</v>
      </c>
      <c r="G30" s="2" t="n">
        <v>109</v>
      </c>
      <c r="H30" s="8" t="n">
        <v>21.9007434197308</v>
      </c>
      <c r="I30" s="2" t="n">
        <v>10</v>
      </c>
      <c r="J30" s="2" t="n">
        <v>15</v>
      </c>
      <c r="K30" s="2" t="n">
        <f aca="false">IF(H30&lt;=PERCENTILE($H$2:$H$230,설명!$B$26),1,0)</f>
        <v>0</v>
      </c>
      <c r="L30" s="2" t="n">
        <f aca="false">IF(I30=0,1,0)</f>
        <v>0</v>
      </c>
      <c r="M30" s="2" t="n">
        <f aca="false">L30</f>
        <v>0</v>
      </c>
      <c r="N30" s="9" t="n">
        <v>0.4272</v>
      </c>
      <c r="O30" s="2" t="n">
        <f aca="false">RANK(N30,$N$2:$N$230,0)</f>
        <v>29</v>
      </c>
      <c r="P30" s="2" t="n">
        <f aca="false">IF(O30&lt;=설명!$B$25,1,0)</f>
        <v>1</v>
      </c>
      <c r="Q30" s="2" t="str">
        <f aca="false">IF(AND(M30=1,P30=1),"① 최우선 지원",IF(P30=1,"② 예방 대상",IF(M30=1,"③ 구조적 공백","④ 관찰")))</f>
        <v>② 예방 대상</v>
      </c>
      <c r="R30" s="9" t="n">
        <v>0.442</v>
      </c>
      <c r="S30" s="2" t="n">
        <f aca="false">RANK(R30,$R$2:$R$230,0)</f>
        <v>30</v>
      </c>
    </row>
    <row r="31" customFormat="false" ht="15" hidden="false" customHeight="false" outlineLevel="0" collapsed="false">
      <c r="A31" s="2" t="s">
        <v>122</v>
      </c>
      <c r="B31" s="3" t="s">
        <v>63</v>
      </c>
      <c r="C31" s="3" t="s">
        <v>123</v>
      </c>
      <c r="D31" s="2" t="n">
        <v>2024</v>
      </c>
      <c r="E31" s="2" t="n">
        <v>2027</v>
      </c>
      <c r="F31" s="2" t="n">
        <v>2019</v>
      </c>
      <c r="G31" s="2" t="n">
        <v>41</v>
      </c>
      <c r="H31" s="8" t="n">
        <v>20.307082714215</v>
      </c>
      <c r="I31" s="2" t="n">
        <v>4</v>
      </c>
      <c r="J31" s="2" t="n">
        <v>8</v>
      </c>
      <c r="K31" s="2" t="n">
        <f aca="false">IF(H31&lt;=PERCENTILE($H$2:$H$230,설명!$B$26),1,0)</f>
        <v>0</v>
      </c>
      <c r="L31" s="2" t="n">
        <f aca="false">IF(I31=0,1,0)</f>
        <v>0</v>
      </c>
      <c r="M31" s="2" t="n">
        <f aca="false">L31</f>
        <v>0</v>
      </c>
      <c r="N31" s="9" t="n">
        <v>0.4175</v>
      </c>
      <c r="O31" s="2" t="n">
        <f aca="false">RANK(N31,$N$2:$N$230,0)</f>
        <v>30</v>
      </c>
      <c r="P31" s="2" t="n">
        <f aca="false">IF(O31&lt;=설명!$B$25,1,0)</f>
        <v>1</v>
      </c>
      <c r="Q31" s="2" t="str">
        <f aca="false">IF(AND(M31=1,P31=1),"① 최우선 지원",IF(P31=1,"② 예방 대상",IF(M31=1,"③ 구조적 공백","④ 관찰")))</f>
        <v>② 예방 대상</v>
      </c>
      <c r="R31" s="9" t="n">
        <v>0.4635</v>
      </c>
      <c r="S31" s="2" t="n">
        <f aca="false">RANK(R31,$R$2:$R$230,0)</f>
        <v>22</v>
      </c>
    </row>
    <row r="32" customFormat="false" ht="15" hidden="false" customHeight="false" outlineLevel="0" collapsed="false">
      <c r="A32" s="2" t="s">
        <v>124</v>
      </c>
      <c r="B32" s="3" t="s">
        <v>63</v>
      </c>
      <c r="C32" s="3" t="s">
        <v>125</v>
      </c>
      <c r="D32" s="2" t="n">
        <v>2024</v>
      </c>
      <c r="E32" s="2" t="n">
        <v>2027</v>
      </c>
      <c r="F32" s="2" t="n">
        <v>449</v>
      </c>
      <c r="G32" s="2" t="n">
        <v>10</v>
      </c>
      <c r="H32" s="8" t="n">
        <v>22.271714922049</v>
      </c>
      <c r="I32" s="2" t="n">
        <v>0</v>
      </c>
      <c r="J32" s="2" t="n">
        <v>2</v>
      </c>
      <c r="K32" s="2" t="n">
        <f aca="false">IF(H32&lt;=PERCENTILE($H$2:$H$230,설명!$B$26),1,0)</f>
        <v>0</v>
      </c>
      <c r="L32" s="2" t="n">
        <f aca="false">IF(I32=0,1,0)</f>
        <v>1</v>
      </c>
      <c r="M32" s="2" t="n">
        <f aca="false">L32</f>
        <v>1</v>
      </c>
      <c r="N32" s="9" t="n">
        <v>0.4083</v>
      </c>
      <c r="O32" s="2" t="n">
        <f aca="false">RANK(N32,$N$2:$N$230,0)</f>
        <v>31</v>
      </c>
      <c r="P32" s="2" t="n">
        <f aca="false">IF(O32&lt;=설명!$B$25,1,0)</f>
        <v>1</v>
      </c>
      <c r="Q32" s="2" t="str">
        <f aca="false">IF(AND(M32=1,P32=1),"① 최우선 지원",IF(P32=1,"② 예방 대상",IF(M32=1,"③ 구조적 공백","④ 관찰")))</f>
        <v>① 최우선 지원</v>
      </c>
      <c r="R32" s="9" t="n">
        <v>0.4333</v>
      </c>
      <c r="S32" s="2" t="n">
        <f aca="false">RANK(R32,$R$2:$R$230,0)</f>
        <v>32</v>
      </c>
    </row>
    <row r="33" customFormat="false" ht="15" hidden="false" customHeight="false" outlineLevel="0" collapsed="false">
      <c r="A33" s="2" t="s">
        <v>126</v>
      </c>
      <c r="B33" s="3" t="s">
        <v>63</v>
      </c>
      <c r="C33" s="3" t="s">
        <v>127</v>
      </c>
      <c r="D33" s="2" t="n">
        <v>2024</v>
      </c>
      <c r="E33" s="2" t="n">
        <v>2027</v>
      </c>
      <c r="F33" s="2" t="n">
        <v>2169</v>
      </c>
      <c r="G33" s="2" t="n">
        <v>43</v>
      </c>
      <c r="H33" s="8" t="n">
        <v>19.8248040571692</v>
      </c>
      <c r="I33" s="2" t="n">
        <v>3</v>
      </c>
      <c r="J33" s="2" t="n">
        <v>5</v>
      </c>
      <c r="K33" s="2" t="n">
        <f aca="false">IF(H33&lt;=PERCENTILE($H$2:$H$230,설명!$B$26),1,0)</f>
        <v>0</v>
      </c>
      <c r="L33" s="2" t="n">
        <f aca="false">IF(I33=0,1,0)</f>
        <v>0</v>
      </c>
      <c r="M33" s="2" t="n">
        <f aca="false">L33</f>
        <v>0</v>
      </c>
      <c r="N33" s="9" t="n">
        <v>0.4014</v>
      </c>
      <c r="O33" s="2" t="n">
        <f aca="false">RANK(N33,$N$2:$N$230,0)</f>
        <v>32</v>
      </c>
      <c r="P33" s="2" t="n">
        <f aca="false">IF(O33&lt;=설명!$B$25,1,0)</f>
        <v>1</v>
      </c>
      <c r="Q33" s="2" t="str">
        <f aca="false">IF(AND(M33=1,P33=1),"① 최우선 지원",IF(P33=1,"② 예방 대상",IF(M33=1,"③ 구조적 공백","④ 관찰")))</f>
        <v>② 예방 대상</v>
      </c>
      <c r="R33" s="9" t="n">
        <v>0.4691</v>
      </c>
      <c r="S33" s="2" t="n">
        <f aca="false">RANK(R33,$R$2:$R$230,0)</f>
        <v>20</v>
      </c>
    </row>
    <row r="34" customFormat="false" ht="15" hidden="false" customHeight="false" outlineLevel="0" collapsed="false">
      <c r="A34" s="2" t="s">
        <v>128</v>
      </c>
      <c r="B34" s="3" t="s">
        <v>90</v>
      </c>
      <c r="C34" s="3" t="s">
        <v>129</v>
      </c>
      <c r="D34" s="2" t="n">
        <v>2024</v>
      </c>
      <c r="E34" s="2" t="n">
        <v>2027</v>
      </c>
      <c r="F34" s="2" t="n">
        <v>1311</v>
      </c>
      <c r="G34" s="2" t="n">
        <v>28</v>
      </c>
      <c r="H34" s="8" t="n">
        <v>21.3577421815408</v>
      </c>
      <c r="I34" s="2" t="n">
        <v>2</v>
      </c>
      <c r="J34" s="2" t="n">
        <v>8</v>
      </c>
      <c r="K34" s="2" t="n">
        <f aca="false">IF(H34&lt;=PERCENTILE($H$2:$H$230,설명!$B$26),1,0)</f>
        <v>0</v>
      </c>
      <c r="L34" s="2" t="n">
        <f aca="false">IF(I34=0,1,0)</f>
        <v>0</v>
      </c>
      <c r="M34" s="2" t="n">
        <f aca="false">L34</f>
        <v>0</v>
      </c>
      <c r="N34" s="9" t="n">
        <v>0.3981</v>
      </c>
      <c r="O34" s="2" t="n">
        <f aca="false">RANK(N34,$N$2:$N$230,0)</f>
        <v>33</v>
      </c>
      <c r="P34" s="2" t="n">
        <f aca="false">IF(O34&lt;=설명!$B$25,1,0)</f>
        <v>1</v>
      </c>
      <c r="Q34" s="2" t="str">
        <f aca="false">IF(AND(M34=1,P34=1),"① 최우선 지원",IF(P34=1,"② 예방 대상",IF(M34=1,"③ 구조적 공백","④ 관찰")))</f>
        <v>② 예방 대상</v>
      </c>
      <c r="R34" s="9" t="n">
        <v>0.4332</v>
      </c>
      <c r="S34" s="2" t="n">
        <f aca="false">RANK(R34,$R$2:$R$230,0)</f>
        <v>33</v>
      </c>
    </row>
    <row r="35" customFormat="false" ht="15" hidden="false" customHeight="false" outlineLevel="0" collapsed="false">
      <c r="A35" s="2" t="s">
        <v>130</v>
      </c>
      <c r="B35" s="3" t="s">
        <v>120</v>
      </c>
      <c r="C35" s="3" t="s">
        <v>131</v>
      </c>
      <c r="D35" s="2" t="n">
        <v>2024</v>
      </c>
      <c r="E35" s="2" t="n">
        <v>2027</v>
      </c>
      <c r="F35" s="2" t="n">
        <v>6458</v>
      </c>
      <c r="G35" s="2" t="n">
        <v>145</v>
      </c>
      <c r="H35" s="8" t="n">
        <v>22.4527717559616</v>
      </c>
      <c r="I35" s="2" t="n">
        <v>12</v>
      </c>
      <c r="J35" s="2" t="n">
        <v>24</v>
      </c>
      <c r="K35" s="2" t="n">
        <f aca="false">IF(H35&lt;=PERCENTILE($H$2:$H$230,설명!$B$26),1,0)</f>
        <v>0</v>
      </c>
      <c r="L35" s="2" t="n">
        <f aca="false">IF(I35=0,1,0)</f>
        <v>0</v>
      </c>
      <c r="M35" s="2" t="n">
        <f aca="false">L35</f>
        <v>0</v>
      </c>
      <c r="N35" s="9" t="n">
        <v>0.3978</v>
      </c>
      <c r="O35" s="2" t="n">
        <f aca="false">RANK(N35,$N$2:$N$230,0)</f>
        <v>34</v>
      </c>
      <c r="P35" s="2" t="n">
        <f aca="false">IF(O35&lt;=설명!$B$25,1,0)</f>
        <v>1</v>
      </c>
      <c r="Q35" s="2" t="str">
        <f aca="false">IF(AND(M35=1,P35=1),"① 최우선 지원",IF(P35=1,"② 예방 대상",IF(M35=1,"③ 구조적 공백","④ 관찰")))</f>
        <v>② 예방 대상</v>
      </c>
      <c r="R35" s="9" t="n">
        <v>0.4392</v>
      </c>
      <c r="S35" s="2" t="n">
        <f aca="false">RANK(R35,$R$2:$R$230,0)</f>
        <v>31</v>
      </c>
    </row>
    <row r="36" customFormat="false" ht="15" hidden="false" customHeight="false" outlineLevel="0" collapsed="false">
      <c r="A36" s="2" t="s">
        <v>132</v>
      </c>
      <c r="B36" s="3" t="s">
        <v>54</v>
      </c>
      <c r="C36" s="3" t="s">
        <v>133</v>
      </c>
      <c r="D36" s="2" t="n">
        <v>2024</v>
      </c>
      <c r="E36" s="2" t="n">
        <v>2027</v>
      </c>
      <c r="F36" s="2" t="n">
        <v>1374</v>
      </c>
      <c r="G36" s="2" t="n">
        <v>23</v>
      </c>
      <c r="H36" s="8" t="n">
        <v>16.7394468704512</v>
      </c>
      <c r="I36" s="2" t="n">
        <v>2</v>
      </c>
      <c r="J36" s="2" t="n">
        <v>5</v>
      </c>
      <c r="K36" s="2" t="n">
        <f aca="false">IF(H36&lt;=PERCENTILE($H$2:$H$230,설명!$B$26),1,0)</f>
        <v>0</v>
      </c>
      <c r="L36" s="2" t="n">
        <f aca="false">IF(I36=0,1,0)</f>
        <v>0</v>
      </c>
      <c r="M36" s="2" t="n">
        <f aca="false">L36</f>
        <v>0</v>
      </c>
      <c r="N36" s="9" t="n">
        <v>0.3971</v>
      </c>
      <c r="O36" s="2" t="n">
        <f aca="false">RANK(N36,$N$2:$N$230,0)</f>
        <v>35</v>
      </c>
      <c r="P36" s="2" t="n">
        <f aca="false">IF(O36&lt;=설명!$B$25,1,0)</f>
        <v>1</v>
      </c>
      <c r="Q36" s="2" t="str">
        <f aca="false">IF(AND(M36=1,P36=1),"① 최우선 지원",IF(P36=1,"② 예방 대상",IF(M36=1,"③ 구조적 공백","④ 관찰")))</f>
        <v>② 예방 대상</v>
      </c>
      <c r="R36" s="9" t="n">
        <v>0.4049</v>
      </c>
      <c r="S36" s="2" t="n">
        <f aca="false">RANK(R36,$R$2:$R$230,0)</f>
        <v>37</v>
      </c>
    </row>
    <row r="37" customFormat="false" ht="15" hidden="false" customHeight="false" outlineLevel="0" collapsed="false">
      <c r="A37" s="2" t="s">
        <v>134</v>
      </c>
      <c r="B37" s="3" t="s">
        <v>135</v>
      </c>
      <c r="C37" s="3" t="s">
        <v>136</v>
      </c>
      <c r="D37" s="2" t="n">
        <v>2024</v>
      </c>
      <c r="E37" s="2" t="n">
        <v>2027</v>
      </c>
      <c r="F37" s="2" t="n">
        <v>11332</v>
      </c>
      <c r="G37" s="2" t="n">
        <v>181</v>
      </c>
      <c r="H37" s="8" t="n">
        <v>15.9724673490999</v>
      </c>
      <c r="I37" s="2" t="n">
        <v>18</v>
      </c>
      <c r="J37" s="2" t="n">
        <v>69</v>
      </c>
      <c r="K37" s="2" t="n">
        <f aca="false">IF(H37&lt;=PERCENTILE($H$2:$H$230,설명!$B$26),1,0)</f>
        <v>0</v>
      </c>
      <c r="L37" s="2" t="n">
        <f aca="false">IF(I37=0,1,0)</f>
        <v>0</v>
      </c>
      <c r="M37" s="2" t="n">
        <f aca="false">L37</f>
        <v>0</v>
      </c>
      <c r="N37" s="9" t="n">
        <v>0.379</v>
      </c>
      <c r="O37" s="2" t="n">
        <f aca="false">RANK(N37,$N$2:$N$230,0)</f>
        <v>36</v>
      </c>
      <c r="P37" s="2" t="n">
        <f aca="false">IF(O37&lt;=설명!$B$25,1,0)</f>
        <v>1</v>
      </c>
      <c r="Q37" s="2" t="str">
        <f aca="false">IF(AND(M37=1,P37=1),"① 최우선 지원",IF(P37=1,"② 예방 대상",IF(M37=1,"③ 구조적 공백","④ 관찰")))</f>
        <v>② 예방 대상</v>
      </c>
      <c r="R37" s="9" t="n">
        <v>0.3468</v>
      </c>
      <c r="S37" s="2" t="n">
        <f aca="false">RANK(R37,$R$2:$R$230,0)</f>
        <v>59</v>
      </c>
    </row>
    <row r="38" customFormat="false" ht="15" hidden="false" customHeight="false" outlineLevel="0" collapsed="false">
      <c r="A38" s="2" t="s">
        <v>137</v>
      </c>
      <c r="B38" s="3" t="s">
        <v>63</v>
      </c>
      <c r="C38" s="3" t="s">
        <v>138</v>
      </c>
      <c r="D38" s="2" t="n">
        <v>2024</v>
      </c>
      <c r="E38" s="2" t="n">
        <v>2027</v>
      </c>
      <c r="F38" s="2" t="n">
        <v>15190</v>
      </c>
      <c r="G38" s="2" t="n">
        <v>296</v>
      </c>
      <c r="H38" s="8" t="n">
        <v>19.486504279131</v>
      </c>
      <c r="I38" s="2" t="n">
        <v>12</v>
      </c>
      <c r="J38" s="2" t="n">
        <v>34</v>
      </c>
      <c r="K38" s="2" t="n">
        <f aca="false">IF(H38&lt;=PERCENTILE($H$2:$H$230,설명!$B$26),1,0)</f>
        <v>0</v>
      </c>
      <c r="L38" s="2" t="n">
        <f aca="false">IF(I38=0,1,0)</f>
        <v>0</v>
      </c>
      <c r="M38" s="2" t="n">
        <f aca="false">L38</f>
        <v>0</v>
      </c>
      <c r="N38" s="9" t="n">
        <v>0.3767</v>
      </c>
      <c r="O38" s="2" t="n">
        <f aca="false">RANK(N38,$N$2:$N$230,0)</f>
        <v>37</v>
      </c>
      <c r="P38" s="2" t="n">
        <f aca="false">IF(O38&lt;=설명!$B$25,1,0)</f>
        <v>1</v>
      </c>
      <c r="Q38" s="2" t="str">
        <f aca="false">IF(AND(M38=1,P38=1),"① 최우선 지원",IF(P38=1,"② 예방 대상",IF(M38=1,"③ 구조적 공백","④ 관찰")))</f>
        <v>② 예방 대상</v>
      </c>
      <c r="R38" s="9" t="n">
        <v>0.286</v>
      </c>
      <c r="S38" s="2" t="n">
        <f aca="false">RANK(R38,$R$2:$R$230,0)</f>
        <v>96</v>
      </c>
    </row>
    <row r="39" customFormat="false" ht="15" hidden="false" customHeight="false" outlineLevel="0" collapsed="false">
      <c r="A39" s="2" t="s">
        <v>139</v>
      </c>
      <c r="B39" s="3" t="s">
        <v>76</v>
      </c>
      <c r="C39" s="3" t="s">
        <v>140</v>
      </c>
      <c r="D39" s="2" t="n">
        <v>2024</v>
      </c>
      <c r="E39" s="2" t="n">
        <v>2027</v>
      </c>
      <c r="F39" s="2" t="n">
        <v>1495</v>
      </c>
      <c r="G39" s="2" t="n">
        <v>30</v>
      </c>
      <c r="H39" s="8" t="n">
        <v>20.066889632107</v>
      </c>
      <c r="I39" s="2" t="n">
        <v>1</v>
      </c>
      <c r="J39" s="2" t="n">
        <v>2</v>
      </c>
      <c r="K39" s="2" t="n">
        <f aca="false">IF(H39&lt;=PERCENTILE($H$2:$H$230,설명!$B$26),1,0)</f>
        <v>0</v>
      </c>
      <c r="L39" s="2" t="n">
        <f aca="false">IF(I39=0,1,0)</f>
        <v>0</v>
      </c>
      <c r="M39" s="2" t="n">
        <f aca="false">L39</f>
        <v>0</v>
      </c>
      <c r="N39" s="9" t="n">
        <v>0.3757</v>
      </c>
      <c r="O39" s="2" t="n">
        <f aca="false">RANK(N39,$N$2:$N$230,0)</f>
        <v>38</v>
      </c>
      <c r="P39" s="2" t="n">
        <f aca="false">IF(O39&lt;=설명!$B$25,1,0)</f>
        <v>1</v>
      </c>
      <c r="Q39" s="2" t="str">
        <f aca="false">IF(AND(M39=1,P39=1),"① 최우선 지원",IF(P39=1,"② 예방 대상",IF(M39=1,"③ 구조적 공백","④ 관찰")))</f>
        <v>② 예방 대상</v>
      </c>
      <c r="R39" s="9" t="n">
        <v>0.4499</v>
      </c>
      <c r="S39" s="2" t="n">
        <f aca="false">RANK(R39,$R$2:$R$230,0)</f>
        <v>25</v>
      </c>
    </row>
    <row r="40" customFormat="false" ht="15" hidden="false" customHeight="false" outlineLevel="0" collapsed="false">
      <c r="A40" s="2" t="s">
        <v>141</v>
      </c>
      <c r="B40" s="3" t="s">
        <v>66</v>
      </c>
      <c r="C40" s="3" t="s">
        <v>142</v>
      </c>
      <c r="D40" s="2" t="n">
        <v>2024</v>
      </c>
      <c r="E40" s="2" t="n">
        <v>2027</v>
      </c>
      <c r="F40" s="2" t="n">
        <v>5502</v>
      </c>
      <c r="G40" s="2" t="n">
        <v>111</v>
      </c>
      <c r="H40" s="8" t="n">
        <v>20.1744820065431</v>
      </c>
      <c r="I40" s="2" t="n">
        <v>13</v>
      </c>
      <c r="J40" s="2" t="n">
        <v>37</v>
      </c>
      <c r="K40" s="2" t="n">
        <f aca="false">IF(H40&lt;=PERCENTILE($H$2:$H$230,설명!$B$26),1,0)</f>
        <v>0</v>
      </c>
      <c r="L40" s="2" t="n">
        <f aca="false">IF(I40=0,1,0)</f>
        <v>0</v>
      </c>
      <c r="M40" s="2" t="n">
        <f aca="false">L40</f>
        <v>0</v>
      </c>
      <c r="N40" s="9" t="n">
        <v>0.3668</v>
      </c>
      <c r="O40" s="2" t="n">
        <f aca="false">RANK(N40,$N$2:$N$230,0)</f>
        <v>39</v>
      </c>
      <c r="P40" s="2" t="n">
        <f aca="false">IF(O40&lt;=설명!$B$25,1,0)</f>
        <v>1</v>
      </c>
      <c r="Q40" s="2" t="str">
        <f aca="false">IF(AND(M40=1,P40=1),"① 최우선 지원",IF(P40=1,"② 예방 대상",IF(M40=1,"③ 구조적 공백","④ 관찰")))</f>
        <v>② 예방 대상</v>
      </c>
      <c r="R40" s="9" t="n">
        <v>0.3674</v>
      </c>
      <c r="S40" s="2" t="n">
        <f aca="false">RANK(R40,$R$2:$R$230,0)</f>
        <v>54</v>
      </c>
    </row>
    <row r="41" customFormat="false" ht="15" hidden="false" customHeight="false" outlineLevel="0" collapsed="false">
      <c r="A41" s="2" t="s">
        <v>143</v>
      </c>
      <c r="B41" s="3" t="s">
        <v>66</v>
      </c>
      <c r="C41" s="3" t="s">
        <v>144</v>
      </c>
      <c r="D41" s="2" t="n">
        <v>2024</v>
      </c>
      <c r="E41" s="2" t="n">
        <v>2027</v>
      </c>
      <c r="F41" s="2" t="n">
        <v>1365</v>
      </c>
      <c r="G41" s="2" t="n">
        <v>28</v>
      </c>
      <c r="H41" s="8" t="n">
        <v>20.5128205128205</v>
      </c>
      <c r="I41" s="2" t="n">
        <v>0</v>
      </c>
      <c r="J41" s="2" t="n">
        <v>0</v>
      </c>
      <c r="K41" s="2" t="n">
        <f aca="false">IF(H41&lt;=PERCENTILE($H$2:$H$230,설명!$B$26),1,0)</f>
        <v>0</v>
      </c>
      <c r="L41" s="2" t="n">
        <f aca="false">IF(I41=0,1,0)</f>
        <v>1</v>
      </c>
      <c r="M41" s="2" t="n">
        <f aca="false">L41</f>
        <v>1</v>
      </c>
      <c r="N41" s="9" t="n">
        <v>0.3627</v>
      </c>
      <c r="O41" s="2" t="n">
        <f aca="false">RANK(N41,$N$2:$N$230,0)</f>
        <v>40</v>
      </c>
      <c r="P41" s="2" t="n">
        <f aca="false">IF(O41&lt;=설명!$B$25,1,0)</f>
        <v>1</v>
      </c>
      <c r="Q41" s="2" t="str">
        <f aca="false">IF(AND(M41=1,P41=1),"① 최우선 지원",IF(P41=1,"② 예방 대상",IF(M41=1,"③ 구조적 공백","④ 관찰")))</f>
        <v>① 최우선 지원</v>
      </c>
      <c r="R41" s="9" t="n">
        <v>0.3163</v>
      </c>
      <c r="S41" s="2" t="n">
        <f aca="false">RANK(R41,$R$2:$R$230,0)</f>
        <v>78</v>
      </c>
    </row>
    <row r="42" customFormat="false" ht="15" hidden="false" customHeight="false" outlineLevel="0" collapsed="false">
      <c r="A42" s="2" t="s">
        <v>145</v>
      </c>
      <c r="B42" s="3" t="s">
        <v>76</v>
      </c>
      <c r="C42" s="3" t="s">
        <v>146</v>
      </c>
      <c r="D42" s="2" t="n">
        <v>2024</v>
      </c>
      <c r="E42" s="2" t="n">
        <v>2027</v>
      </c>
      <c r="F42" s="2" t="n">
        <v>1930</v>
      </c>
      <c r="G42" s="2" t="n">
        <v>24</v>
      </c>
      <c r="H42" s="8" t="n">
        <v>12.4352331606218</v>
      </c>
      <c r="I42" s="2" t="n">
        <v>3</v>
      </c>
      <c r="J42" s="2" t="n">
        <v>4</v>
      </c>
      <c r="K42" s="2" t="n">
        <f aca="false">IF(H42&lt;=PERCENTILE($H$2:$H$230,설명!$B$26),1,0)</f>
        <v>1</v>
      </c>
      <c r="L42" s="2" t="n">
        <f aca="false">IF(I42=0,1,0)</f>
        <v>0</v>
      </c>
      <c r="M42" s="2" t="n">
        <f aca="false">L42</f>
        <v>0</v>
      </c>
      <c r="N42" s="9" t="n">
        <v>0.3599</v>
      </c>
      <c r="O42" s="2" t="n">
        <f aca="false">RANK(N42,$N$2:$N$230,0)</f>
        <v>41</v>
      </c>
      <c r="P42" s="2" t="n">
        <f aca="false">IF(O42&lt;=설명!$B$25,1,0)</f>
        <v>1</v>
      </c>
      <c r="Q42" s="2" t="str">
        <f aca="false">IF(AND(M42=1,P42=1),"① 최우선 지원",IF(P42=1,"② 예방 대상",IF(M42=1,"③ 구조적 공백","④ 관찰")))</f>
        <v>② 예방 대상</v>
      </c>
      <c r="R42" s="9" t="n">
        <v>0.384</v>
      </c>
      <c r="S42" s="2" t="n">
        <f aca="false">RANK(R42,$R$2:$R$230,0)</f>
        <v>43</v>
      </c>
    </row>
    <row r="43" customFormat="false" ht="15" hidden="false" customHeight="false" outlineLevel="0" collapsed="false">
      <c r="A43" s="2" t="s">
        <v>147</v>
      </c>
      <c r="B43" s="3" t="s">
        <v>120</v>
      </c>
      <c r="C43" s="3" t="s">
        <v>148</v>
      </c>
      <c r="D43" s="2" t="n">
        <v>2024</v>
      </c>
      <c r="E43" s="2" t="n">
        <v>2027</v>
      </c>
      <c r="F43" s="2" t="n">
        <v>5188</v>
      </c>
      <c r="G43" s="2" t="n">
        <v>106</v>
      </c>
      <c r="H43" s="8" t="n">
        <v>20.431765612953</v>
      </c>
      <c r="I43" s="2" t="n">
        <v>8</v>
      </c>
      <c r="J43" s="2" t="n">
        <v>20</v>
      </c>
      <c r="K43" s="2" t="n">
        <f aca="false">IF(H43&lt;=PERCENTILE($H$2:$H$230,설명!$B$26),1,0)</f>
        <v>0</v>
      </c>
      <c r="L43" s="2" t="n">
        <f aca="false">IF(I43=0,1,0)</f>
        <v>0</v>
      </c>
      <c r="M43" s="2" t="n">
        <f aca="false">L43</f>
        <v>0</v>
      </c>
      <c r="N43" s="9" t="n">
        <v>0.358</v>
      </c>
      <c r="O43" s="2" t="n">
        <f aca="false">RANK(N43,$N$2:$N$230,0)</f>
        <v>42</v>
      </c>
      <c r="P43" s="2" t="n">
        <f aca="false">IF(O43&lt;=설명!$B$25,1,0)</f>
        <v>1</v>
      </c>
      <c r="Q43" s="2" t="str">
        <f aca="false">IF(AND(M43=1,P43=1),"① 최우선 지원",IF(P43=1,"② 예방 대상",IF(M43=1,"③ 구조적 공백","④ 관찰")))</f>
        <v>② 예방 대상</v>
      </c>
      <c r="R43" s="9" t="n">
        <v>0.3459</v>
      </c>
      <c r="S43" s="2" t="n">
        <f aca="false">RANK(R43,$R$2:$R$230,0)</f>
        <v>60</v>
      </c>
    </row>
    <row r="44" customFormat="false" ht="15" hidden="false" customHeight="false" outlineLevel="0" collapsed="false">
      <c r="A44" s="2" t="s">
        <v>149</v>
      </c>
      <c r="B44" s="3" t="s">
        <v>71</v>
      </c>
      <c r="C44" s="3" t="s">
        <v>114</v>
      </c>
      <c r="D44" s="2" t="n">
        <v>2024</v>
      </c>
      <c r="E44" s="2" t="n">
        <v>2027</v>
      </c>
      <c r="F44" s="2" t="n">
        <v>1305</v>
      </c>
      <c r="G44" s="2" t="n">
        <v>32</v>
      </c>
      <c r="H44" s="8" t="n">
        <v>24.5210727969349</v>
      </c>
      <c r="I44" s="2" t="n">
        <v>2</v>
      </c>
      <c r="J44" s="2" t="n">
        <v>4</v>
      </c>
      <c r="K44" s="2" t="n">
        <f aca="false">IF(H44&lt;=PERCENTILE($H$2:$H$230,설명!$B$26),1,0)</f>
        <v>0</v>
      </c>
      <c r="L44" s="2" t="n">
        <f aca="false">IF(I44=0,1,0)</f>
        <v>0</v>
      </c>
      <c r="M44" s="2" t="n">
        <f aca="false">L44</f>
        <v>0</v>
      </c>
      <c r="N44" s="9" t="n">
        <v>0.3551</v>
      </c>
      <c r="O44" s="2" t="n">
        <f aca="false">RANK(N44,$N$2:$N$230,0)</f>
        <v>43</v>
      </c>
      <c r="P44" s="2" t="n">
        <f aca="false">IF(O44&lt;=설명!$B$25,1,0)</f>
        <v>1</v>
      </c>
      <c r="Q44" s="2" t="str">
        <f aca="false">IF(AND(M44=1,P44=1),"① 최우선 지원",IF(P44=1,"② 예방 대상",IF(M44=1,"③ 구조적 공백","④ 관찰")))</f>
        <v>② 예방 대상</v>
      </c>
      <c r="R44" s="9" t="n">
        <v>0.3361</v>
      </c>
      <c r="S44" s="2" t="n">
        <f aca="false">RANK(R44,$R$2:$R$230,0)</f>
        <v>65</v>
      </c>
    </row>
    <row r="45" customFormat="false" ht="15" hidden="false" customHeight="false" outlineLevel="0" collapsed="false">
      <c r="A45" s="2" t="s">
        <v>150</v>
      </c>
      <c r="B45" s="3" t="s">
        <v>76</v>
      </c>
      <c r="C45" s="3" t="s">
        <v>151</v>
      </c>
      <c r="D45" s="2" t="n">
        <v>2024</v>
      </c>
      <c r="E45" s="2" t="n">
        <v>2027</v>
      </c>
      <c r="F45" s="2" t="n">
        <v>2097</v>
      </c>
      <c r="G45" s="2" t="n">
        <v>39</v>
      </c>
      <c r="H45" s="8" t="n">
        <v>18.5979971387697</v>
      </c>
      <c r="I45" s="2" t="n">
        <v>2</v>
      </c>
      <c r="J45" s="2" t="n">
        <v>5</v>
      </c>
      <c r="K45" s="2" t="n">
        <f aca="false">IF(H45&lt;=PERCENTILE($H$2:$H$230,설명!$B$26),1,0)</f>
        <v>0</v>
      </c>
      <c r="L45" s="2" t="n">
        <f aca="false">IF(I45=0,1,0)</f>
        <v>0</v>
      </c>
      <c r="M45" s="2" t="n">
        <f aca="false">L45</f>
        <v>0</v>
      </c>
      <c r="N45" s="9" t="n">
        <v>0.3549</v>
      </c>
      <c r="O45" s="2" t="n">
        <f aca="false">RANK(N45,$N$2:$N$230,0)</f>
        <v>44</v>
      </c>
      <c r="P45" s="2" t="n">
        <f aca="false">IF(O45&lt;=설명!$B$25,1,0)</f>
        <v>1</v>
      </c>
      <c r="Q45" s="2" t="str">
        <f aca="false">IF(AND(M45=1,P45=1),"① 최우선 지원",IF(P45=1,"② 예방 대상",IF(M45=1,"③ 구조적 공백","④ 관찰")))</f>
        <v>② 예방 대상</v>
      </c>
      <c r="R45" s="9" t="n">
        <v>0.4525</v>
      </c>
      <c r="S45" s="2" t="n">
        <f aca="false">RANK(R45,$R$2:$R$230,0)</f>
        <v>24</v>
      </c>
    </row>
    <row r="46" customFormat="false" ht="15" hidden="false" customHeight="false" outlineLevel="0" collapsed="false">
      <c r="A46" s="2" t="s">
        <v>152</v>
      </c>
      <c r="B46" s="3" t="s">
        <v>153</v>
      </c>
      <c r="C46" s="3" t="s">
        <v>154</v>
      </c>
      <c r="D46" s="2" t="n">
        <v>2024</v>
      </c>
      <c r="E46" s="2" t="n">
        <v>2027</v>
      </c>
      <c r="F46" s="2" t="n">
        <v>19156</v>
      </c>
      <c r="G46" s="2" t="n">
        <v>362</v>
      </c>
      <c r="H46" s="8" t="n">
        <v>18.8974733764878</v>
      </c>
      <c r="I46" s="2" t="n">
        <v>30</v>
      </c>
      <c r="J46" s="2" t="n">
        <v>98</v>
      </c>
      <c r="K46" s="2" t="n">
        <f aca="false">IF(H46&lt;=PERCENTILE($H$2:$H$230,설명!$B$26),1,0)</f>
        <v>0</v>
      </c>
      <c r="L46" s="2" t="n">
        <f aca="false">IF(I46=0,1,0)</f>
        <v>0</v>
      </c>
      <c r="M46" s="2" t="n">
        <f aca="false">L46</f>
        <v>0</v>
      </c>
      <c r="N46" s="9" t="n">
        <v>0.3539</v>
      </c>
      <c r="O46" s="2" t="n">
        <f aca="false">RANK(N46,$N$2:$N$230,0)</f>
        <v>45</v>
      </c>
      <c r="P46" s="2" t="n">
        <f aca="false">IF(O46&lt;=설명!$B$25,1,0)</f>
        <v>1</v>
      </c>
      <c r="Q46" s="2" t="str">
        <f aca="false">IF(AND(M46=1,P46=1),"① 최우선 지원",IF(P46=1,"② 예방 대상",IF(M46=1,"③ 구조적 공백","④ 관찰")))</f>
        <v>② 예방 대상</v>
      </c>
      <c r="R46" s="9" t="n">
        <v>0.3951</v>
      </c>
      <c r="S46" s="2" t="n">
        <f aca="false">RANK(R46,$R$2:$R$230,0)</f>
        <v>38</v>
      </c>
    </row>
    <row r="47" customFormat="false" ht="15" hidden="false" customHeight="false" outlineLevel="0" collapsed="false">
      <c r="A47" s="2" t="s">
        <v>155</v>
      </c>
      <c r="B47" s="3" t="s">
        <v>108</v>
      </c>
      <c r="C47" s="3" t="s">
        <v>114</v>
      </c>
      <c r="D47" s="2" t="n">
        <v>2024</v>
      </c>
      <c r="E47" s="2" t="n">
        <v>2027</v>
      </c>
      <c r="F47" s="2" t="n">
        <v>6252</v>
      </c>
      <c r="G47" s="2" t="n">
        <v>126</v>
      </c>
      <c r="H47" s="8" t="n">
        <v>20.1535508637236</v>
      </c>
      <c r="I47" s="2" t="n">
        <v>5</v>
      </c>
      <c r="J47" s="2" t="n">
        <v>19</v>
      </c>
      <c r="K47" s="2" t="n">
        <f aca="false">IF(H47&lt;=PERCENTILE($H$2:$H$230,설명!$B$26),1,0)</f>
        <v>0</v>
      </c>
      <c r="L47" s="2" t="n">
        <f aca="false">IF(I47=0,1,0)</f>
        <v>0</v>
      </c>
      <c r="M47" s="2" t="n">
        <f aca="false">L47</f>
        <v>0</v>
      </c>
      <c r="N47" s="9" t="n">
        <v>0.348</v>
      </c>
      <c r="O47" s="2" t="n">
        <f aca="false">RANK(N47,$N$2:$N$230,0)</f>
        <v>46</v>
      </c>
      <c r="P47" s="2" t="n">
        <f aca="false">IF(O47&lt;=설명!$B$25,1,0)</f>
        <v>1</v>
      </c>
      <c r="Q47" s="2" t="str">
        <f aca="false">IF(AND(M47=1,P47=1),"① 최우선 지원",IF(P47=1,"② 예방 대상",IF(M47=1,"③ 구조적 공백","④ 관찰")))</f>
        <v>② 예방 대상</v>
      </c>
      <c r="R47" s="9" t="n">
        <v>0.3796</v>
      </c>
      <c r="S47" s="2" t="n">
        <f aca="false">RANK(R47,$R$2:$R$230,0)</f>
        <v>47</v>
      </c>
    </row>
    <row r="48" customFormat="false" ht="15" hidden="false" customHeight="false" outlineLevel="0" collapsed="false">
      <c r="A48" s="2" t="s">
        <v>156</v>
      </c>
      <c r="B48" s="3" t="s">
        <v>120</v>
      </c>
      <c r="C48" s="3" t="s">
        <v>157</v>
      </c>
      <c r="D48" s="2" t="n">
        <v>2024</v>
      </c>
      <c r="E48" s="2" t="n">
        <v>2027</v>
      </c>
      <c r="F48" s="2" t="n">
        <v>8007</v>
      </c>
      <c r="G48" s="2" t="n">
        <v>158</v>
      </c>
      <c r="H48" s="8" t="n">
        <v>19.7327338578744</v>
      </c>
      <c r="I48" s="2" t="n">
        <v>19</v>
      </c>
      <c r="J48" s="2" t="n">
        <v>33</v>
      </c>
      <c r="K48" s="2" t="n">
        <f aca="false">IF(H48&lt;=PERCENTILE($H$2:$H$230,설명!$B$26),1,0)</f>
        <v>0</v>
      </c>
      <c r="L48" s="2" t="n">
        <f aca="false">IF(I48=0,1,0)</f>
        <v>0</v>
      </c>
      <c r="M48" s="2" t="n">
        <f aca="false">L48</f>
        <v>0</v>
      </c>
      <c r="N48" s="9" t="n">
        <v>0.3473</v>
      </c>
      <c r="O48" s="2" t="n">
        <f aca="false">RANK(N48,$N$2:$N$230,0)</f>
        <v>47</v>
      </c>
      <c r="P48" s="2" t="n">
        <f aca="false">IF(O48&lt;=설명!$B$25,1,0)</f>
        <v>0</v>
      </c>
      <c r="Q48" s="2" t="str">
        <f aca="false">IF(AND(M48=1,P48=1),"① 최우선 지원",IF(P48=1,"② 예방 대상",IF(M48=1,"③ 구조적 공백","④ 관찰")))</f>
        <v>④ 관찰</v>
      </c>
      <c r="R48" s="9" t="n">
        <v>0.3705</v>
      </c>
      <c r="S48" s="2" t="n">
        <f aca="false">RANK(R48,$R$2:$R$230,0)</f>
        <v>50</v>
      </c>
    </row>
    <row r="49" customFormat="false" ht="15" hidden="false" customHeight="false" outlineLevel="0" collapsed="false">
      <c r="A49" s="2" t="s">
        <v>158</v>
      </c>
      <c r="B49" s="3" t="s">
        <v>153</v>
      </c>
      <c r="C49" s="3" t="s">
        <v>159</v>
      </c>
      <c r="D49" s="2" t="n">
        <v>2024</v>
      </c>
      <c r="E49" s="2" t="n">
        <v>2027</v>
      </c>
      <c r="F49" s="2" t="n">
        <v>1748</v>
      </c>
      <c r="G49" s="2" t="n">
        <v>47</v>
      </c>
      <c r="H49" s="8" t="n">
        <v>26.8878718535469</v>
      </c>
      <c r="I49" s="2" t="n">
        <v>2</v>
      </c>
      <c r="J49" s="2" t="n">
        <v>6</v>
      </c>
      <c r="K49" s="2" t="n">
        <f aca="false">IF(H49&lt;=PERCENTILE($H$2:$H$230,설명!$B$26),1,0)</f>
        <v>0</v>
      </c>
      <c r="L49" s="2" t="n">
        <f aca="false">IF(I49=0,1,0)</f>
        <v>0</v>
      </c>
      <c r="M49" s="2" t="n">
        <f aca="false">L49</f>
        <v>0</v>
      </c>
      <c r="N49" s="9" t="n">
        <v>0.346</v>
      </c>
      <c r="O49" s="2" t="n">
        <f aca="false">RANK(N49,$N$2:$N$230,0)</f>
        <v>48</v>
      </c>
      <c r="P49" s="2" t="n">
        <f aca="false">IF(O49&lt;=설명!$B$25,1,0)</f>
        <v>0</v>
      </c>
      <c r="Q49" s="2" t="str">
        <f aca="false">IF(AND(M49=1,P49=1),"① 최우선 지원",IF(P49=1,"② 예방 대상",IF(M49=1,"③ 구조적 공백","④ 관찰")))</f>
        <v>④ 관찰</v>
      </c>
      <c r="R49" s="9" t="n">
        <v>0.4427</v>
      </c>
      <c r="S49" s="2" t="n">
        <f aca="false">RANK(R49,$R$2:$R$230,0)</f>
        <v>29</v>
      </c>
    </row>
    <row r="50" customFormat="false" ht="15" hidden="false" customHeight="false" outlineLevel="0" collapsed="false">
      <c r="A50" s="2" t="s">
        <v>160</v>
      </c>
      <c r="B50" s="3" t="s">
        <v>54</v>
      </c>
      <c r="C50" s="3" t="s">
        <v>161</v>
      </c>
      <c r="D50" s="2" t="n">
        <v>2024</v>
      </c>
      <c r="E50" s="2" t="n">
        <v>2027</v>
      </c>
      <c r="F50" s="2" t="n">
        <v>941</v>
      </c>
      <c r="G50" s="2" t="n">
        <v>19</v>
      </c>
      <c r="H50" s="8" t="n">
        <v>20.1912858660999</v>
      </c>
      <c r="I50" s="2" t="n">
        <v>0</v>
      </c>
      <c r="J50" s="2" t="n">
        <v>2</v>
      </c>
      <c r="K50" s="2" t="n">
        <f aca="false">IF(H50&lt;=PERCENTILE($H$2:$H$230,설명!$B$26),1,0)</f>
        <v>0</v>
      </c>
      <c r="L50" s="2" t="n">
        <f aca="false">IF(I50=0,1,0)</f>
        <v>1</v>
      </c>
      <c r="M50" s="2" t="n">
        <f aca="false">L50</f>
        <v>1</v>
      </c>
      <c r="N50" s="9" t="n">
        <v>0.346</v>
      </c>
      <c r="O50" s="2" t="n">
        <f aca="false">RANK(N50,$N$2:$N$230,0)</f>
        <v>48</v>
      </c>
      <c r="P50" s="2" t="n">
        <f aca="false">IF(O50&lt;=설명!$B$25,1,0)</f>
        <v>0</v>
      </c>
      <c r="Q50" s="2" t="str">
        <f aca="false">IF(AND(M50=1,P50=1),"① 최우선 지원",IF(P50=1,"② 예방 대상",IF(M50=1,"③ 구조적 공백","④ 관찰")))</f>
        <v>③ 구조적 공백</v>
      </c>
      <c r="R50" s="9" t="n">
        <v>0.3076</v>
      </c>
      <c r="S50" s="2" t="n">
        <f aca="false">RANK(R50,$R$2:$R$230,0)</f>
        <v>85</v>
      </c>
    </row>
    <row r="51" customFormat="false" ht="15" hidden="false" customHeight="false" outlineLevel="0" collapsed="false">
      <c r="A51" s="2" t="s">
        <v>162</v>
      </c>
      <c r="B51" s="3" t="s">
        <v>66</v>
      </c>
      <c r="C51" s="3" t="s">
        <v>163</v>
      </c>
      <c r="D51" s="2" t="n">
        <v>2024</v>
      </c>
      <c r="E51" s="2" t="n">
        <v>2027</v>
      </c>
      <c r="F51" s="2" t="n">
        <v>21603</v>
      </c>
      <c r="G51" s="2" t="n">
        <v>423</v>
      </c>
      <c r="H51" s="8" t="n">
        <v>19.5806138036384</v>
      </c>
      <c r="I51" s="2" t="n">
        <v>35</v>
      </c>
      <c r="J51" s="2" t="n">
        <v>93</v>
      </c>
      <c r="K51" s="2" t="n">
        <f aca="false">IF(H51&lt;=PERCENTILE($H$2:$H$230,설명!$B$26),1,0)</f>
        <v>0</v>
      </c>
      <c r="L51" s="2" t="n">
        <f aca="false">IF(I51=0,1,0)</f>
        <v>0</v>
      </c>
      <c r="M51" s="2" t="n">
        <f aca="false">L51</f>
        <v>0</v>
      </c>
      <c r="N51" s="9" t="n">
        <v>0.3453</v>
      </c>
      <c r="O51" s="2" t="n">
        <f aca="false">RANK(N51,$N$2:$N$230,0)</f>
        <v>50</v>
      </c>
      <c r="P51" s="2" t="n">
        <f aca="false">IF(O51&lt;=설명!$B$25,1,0)</f>
        <v>0</v>
      </c>
      <c r="Q51" s="2" t="str">
        <f aca="false">IF(AND(M51=1,P51=1),"① 최우선 지원",IF(P51=1,"② 예방 대상",IF(M51=1,"③ 구조적 공백","④ 관찰")))</f>
        <v>④ 관찰</v>
      </c>
      <c r="R51" s="9" t="n">
        <v>0.4496</v>
      </c>
      <c r="S51" s="2" t="n">
        <f aca="false">RANK(R51,$R$2:$R$230,0)</f>
        <v>26</v>
      </c>
    </row>
    <row r="52" customFormat="false" ht="15" hidden="false" customHeight="false" outlineLevel="0" collapsed="false">
      <c r="A52" s="2" t="s">
        <v>164</v>
      </c>
      <c r="B52" s="3" t="s">
        <v>108</v>
      </c>
      <c r="C52" s="3" t="s">
        <v>94</v>
      </c>
      <c r="D52" s="2" t="n">
        <v>2024</v>
      </c>
      <c r="E52" s="2" t="n">
        <v>2027</v>
      </c>
      <c r="F52" s="2" t="n">
        <v>13998</v>
      </c>
      <c r="G52" s="2" t="n">
        <v>273</v>
      </c>
      <c r="H52" s="8" t="n">
        <v>19.5027861123018</v>
      </c>
      <c r="I52" s="2" t="n">
        <v>20</v>
      </c>
      <c r="J52" s="2" t="n">
        <v>75</v>
      </c>
      <c r="K52" s="2" t="n">
        <f aca="false">IF(H52&lt;=PERCENTILE($H$2:$H$230,설명!$B$26),1,0)</f>
        <v>0</v>
      </c>
      <c r="L52" s="2" t="n">
        <f aca="false">IF(I52=0,1,0)</f>
        <v>0</v>
      </c>
      <c r="M52" s="2" t="n">
        <f aca="false">L52</f>
        <v>0</v>
      </c>
      <c r="N52" s="9" t="n">
        <v>0.3449</v>
      </c>
      <c r="O52" s="2" t="n">
        <f aca="false">RANK(N52,$N$2:$N$230,0)</f>
        <v>51</v>
      </c>
      <c r="P52" s="2" t="n">
        <f aca="false">IF(O52&lt;=설명!$B$25,1,0)</f>
        <v>0</v>
      </c>
      <c r="Q52" s="2" t="str">
        <f aca="false">IF(AND(M52=1,P52=1),"① 최우선 지원",IF(P52=1,"② 예방 대상",IF(M52=1,"③ 구조적 공백","④ 관찰")))</f>
        <v>④ 관찰</v>
      </c>
      <c r="R52" s="9" t="n">
        <v>0.3096</v>
      </c>
      <c r="S52" s="2" t="n">
        <f aca="false">RANK(R52,$R$2:$R$230,0)</f>
        <v>83</v>
      </c>
    </row>
    <row r="53" customFormat="false" ht="15" hidden="false" customHeight="false" outlineLevel="0" collapsed="false">
      <c r="A53" s="2" t="s">
        <v>165</v>
      </c>
      <c r="B53" s="3" t="s">
        <v>76</v>
      </c>
      <c r="C53" s="3" t="s">
        <v>166</v>
      </c>
      <c r="D53" s="2" t="n">
        <v>2024</v>
      </c>
      <c r="E53" s="2" t="n">
        <v>2027</v>
      </c>
      <c r="F53" s="2" t="n">
        <v>14585</v>
      </c>
      <c r="G53" s="2" t="n">
        <v>246</v>
      </c>
      <c r="H53" s="8" t="n">
        <v>16.8666438121358</v>
      </c>
      <c r="I53" s="2" t="n">
        <v>15</v>
      </c>
      <c r="J53" s="2" t="n">
        <v>43</v>
      </c>
      <c r="K53" s="2" t="n">
        <f aca="false">IF(H53&lt;=PERCENTILE($H$2:$H$230,설명!$B$26),1,0)</f>
        <v>0</v>
      </c>
      <c r="L53" s="2" t="n">
        <f aca="false">IF(I53=0,1,0)</f>
        <v>0</v>
      </c>
      <c r="M53" s="2" t="n">
        <f aca="false">L53</f>
        <v>0</v>
      </c>
      <c r="N53" s="9" t="n">
        <v>0.3421</v>
      </c>
      <c r="O53" s="2" t="n">
        <f aca="false">RANK(N53,$N$2:$N$230,0)</f>
        <v>52</v>
      </c>
      <c r="P53" s="2" t="n">
        <f aca="false">IF(O53&lt;=설명!$B$25,1,0)</f>
        <v>0</v>
      </c>
      <c r="Q53" s="2" t="str">
        <f aca="false">IF(AND(M53=1,P53=1),"① 최우선 지원",IF(P53=1,"② 예방 대상",IF(M53=1,"③ 구조적 공백","④ 관찰")))</f>
        <v>④ 관찰</v>
      </c>
      <c r="R53" s="9" t="n">
        <v>0.3343</v>
      </c>
      <c r="S53" s="2" t="n">
        <f aca="false">RANK(R53,$R$2:$R$230,0)</f>
        <v>69</v>
      </c>
    </row>
    <row r="54" customFormat="false" ht="15" hidden="false" customHeight="false" outlineLevel="0" collapsed="false">
      <c r="A54" s="2" t="s">
        <v>167</v>
      </c>
      <c r="B54" s="3" t="s">
        <v>120</v>
      </c>
      <c r="C54" s="3" t="s">
        <v>168</v>
      </c>
      <c r="D54" s="2" t="n">
        <v>2024</v>
      </c>
      <c r="E54" s="2" t="n">
        <v>2027</v>
      </c>
      <c r="F54" s="2" t="n">
        <v>12304</v>
      </c>
      <c r="G54" s="2" t="n">
        <v>268</v>
      </c>
      <c r="H54" s="8" t="n">
        <v>21.7815344603381</v>
      </c>
      <c r="I54" s="2" t="n">
        <v>25</v>
      </c>
      <c r="J54" s="2" t="n">
        <v>58</v>
      </c>
      <c r="K54" s="2" t="n">
        <f aca="false">IF(H54&lt;=PERCENTILE($H$2:$H$230,설명!$B$26),1,0)</f>
        <v>0</v>
      </c>
      <c r="L54" s="2" t="n">
        <f aca="false">IF(I54=0,1,0)</f>
        <v>0</v>
      </c>
      <c r="M54" s="2" t="n">
        <f aca="false">L54</f>
        <v>0</v>
      </c>
      <c r="N54" s="9" t="n">
        <v>0.3417</v>
      </c>
      <c r="O54" s="2" t="n">
        <f aca="false">RANK(N54,$N$2:$N$230,0)</f>
        <v>53</v>
      </c>
      <c r="P54" s="2" t="n">
        <f aca="false">IF(O54&lt;=설명!$B$25,1,0)</f>
        <v>0</v>
      </c>
      <c r="Q54" s="2" t="str">
        <f aca="false">IF(AND(M54=1,P54=1),"① 최우선 지원",IF(P54=1,"② 예방 대상",IF(M54=1,"③ 구조적 공백","④ 관찰")))</f>
        <v>④ 관찰</v>
      </c>
      <c r="R54" s="9" t="n">
        <v>0.3785</v>
      </c>
      <c r="S54" s="2" t="n">
        <f aca="false">RANK(R54,$R$2:$R$230,0)</f>
        <v>48</v>
      </c>
    </row>
    <row r="55" customFormat="false" ht="15" hidden="false" customHeight="false" outlineLevel="0" collapsed="false">
      <c r="A55" s="2" t="s">
        <v>169</v>
      </c>
      <c r="B55" s="3" t="s">
        <v>66</v>
      </c>
      <c r="C55" s="3" t="s">
        <v>170</v>
      </c>
      <c r="D55" s="2" t="n">
        <v>2024</v>
      </c>
      <c r="E55" s="2" t="n">
        <v>2027</v>
      </c>
      <c r="F55" s="2" t="n">
        <v>1011</v>
      </c>
      <c r="G55" s="2" t="n">
        <v>21</v>
      </c>
      <c r="H55" s="8" t="n">
        <v>20.7715133531157</v>
      </c>
      <c r="I55" s="2" t="n">
        <v>0</v>
      </c>
      <c r="J55" s="2" t="n">
        <v>3</v>
      </c>
      <c r="K55" s="2" t="n">
        <f aca="false">IF(H55&lt;=PERCENTILE($H$2:$H$230,설명!$B$26),1,0)</f>
        <v>0</v>
      </c>
      <c r="L55" s="2" t="n">
        <f aca="false">IF(I55=0,1,0)</f>
        <v>1</v>
      </c>
      <c r="M55" s="2" t="n">
        <f aca="false">L55</f>
        <v>1</v>
      </c>
      <c r="N55" s="9" t="n">
        <v>0.341</v>
      </c>
      <c r="O55" s="2" t="n">
        <f aca="false">RANK(N55,$N$2:$N$230,0)</f>
        <v>54</v>
      </c>
      <c r="P55" s="2" t="n">
        <f aca="false">IF(O55&lt;=설명!$B$25,1,0)</f>
        <v>0</v>
      </c>
      <c r="Q55" s="2" t="str">
        <f aca="false">IF(AND(M55=1,P55=1),"① 최우선 지원",IF(P55=1,"② 예방 대상",IF(M55=1,"③ 구조적 공백","④ 관찰")))</f>
        <v>③ 구조적 공백</v>
      </c>
      <c r="R55" s="9" t="n">
        <v>0.2898</v>
      </c>
      <c r="S55" s="2" t="n">
        <f aca="false">RANK(R55,$R$2:$R$230,0)</f>
        <v>93</v>
      </c>
    </row>
    <row r="56" customFormat="false" ht="15" hidden="false" customHeight="false" outlineLevel="0" collapsed="false">
      <c r="A56" s="2" t="s">
        <v>171</v>
      </c>
      <c r="B56" s="3" t="s">
        <v>76</v>
      </c>
      <c r="C56" s="3" t="s">
        <v>172</v>
      </c>
      <c r="D56" s="2" t="n">
        <v>2024</v>
      </c>
      <c r="E56" s="2" t="n">
        <v>2027</v>
      </c>
      <c r="F56" s="2" t="n">
        <v>4027</v>
      </c>
      <c r="G56" s="2" t="n">
        <v>65</v>
      </c>
      <c r="H56" s="8" t="n">
        <v>16.1410479264962</v>
      </c>
      <c r="I56" s="2" t="n">
        <v>4</v>
      </c>
      <c r="J56" s="2" t="n">
        <v>10</v>
      </c>
      <c r="K56" s="2" t="n">
        <f aca="false">IF(H56&lt;=PERCENTILE($H$2:$H$230,설명!$B$26),1,0)</f>
        <v>0</v>
      </c>
      <c r="L56" s="2" t="n">
        <f aca="false">IF(I56=0,1,0)</f>
        <v>0</v>
      </c>
      <c r="M56" s="2" t="n">
        <f aca="false">L56</f>
        <v>0</v>
      </c>
      <c r="N56" s="9" t="n">
        <v>0.3384</v>
      </c>
      <c r="O56" s="2" t="n">
        <f aca="false">RANK(N56,$N$2:$N$230,0)</f>
        <v>55</v>
      </c>
      <c r="P56" s="2" t="n">
        <f aca="false">IF(O56&lt;=설명!$B$25,1,0)</f>
        <v>0</v>
      </c>
      <c r="Q56" s="2" t="str">
        <f aca="false">IF(AND(M56=1,P56=1),"① 최우선 지원",IF(P56=1,"② 예방 대상",IF(M56=1,"③ 구조적 공백","④ 관찰")))</f>
        <v>④ 관찰</v>
      </c>
      <c r="R56" s="9" t="n">
        <v>0.3868</v>
      </c>
      <c r="S56" s="2" t="n">
        <f aca="false">RANK(R56,$R$2:$R$230,0)</f>
        <v>42</v>
      </c>
    </row>
    <row r="57" customFormat="false" ht="15" hidden="false" customHeight="false" outlineLevel="0" collapsed="false">
      <c r="A57" s="2" t="s">
        <v>173</v>
      </c>
      <c r="B57" s="3" t="s">
        <v>76</v>
      </c>
      <c r="C57" s="3" t="s">
        <v>174</v>
      </c>
      <c r="D57" s="2" t="n">
        <v>2024</v>
      </c>
      <c r="E57" s="2" t="n">
        <v>2027</v>
      </c>
      <c r="F57" s="2" t="n">
        <v>6128</v>
      </c>
      <c r="G57" s="2" t="n">
        <v>109</v>
      </c>
      <c r="H57" s="8" t="n">
        <v>17.7872062663185</v>
      </c>
      <c r="I57" s="2" t="n">
        <v>5</v>
      </c>
      <c r="J57" s="2" t="n">
        <v>16</v>
      </c>
      <c r="K57" s="2" t="n">
        <f aca="false">IF(H57&lt;=PERCENTILE($H$2:$H$230,설명!$B$26),1,0)</f>
        <v>0</v>
      </c>
      <c r="L57" s="2" t="n">
        <f aca="false">IF(I57=0,1,0)</f>
        <v>0</v>
      </c>
      <c r="M57" s="2" t="n">
        <f aca="false">L57</f>
        <v>0</v>
      </c>
      <c r="N57" s="9" t="n">
        <v>0.3367</v>
      </c>
      <c r="O57" s="2" t="n">
        <f aca="false">RANK(N57,$N$2:$N$230,0)</f>
        <v>56</v>
      </c>
      <c r="P57" s="2" t="n">
        <f aca="false">IF(O57&lt;=설명!$B$25,1,0)</f>
        <v>0</v>
      </c>
      <c r="Q57" s="2" t="str">
        <f aca="false">IF(AND(M57=1,P57=1),"① 최우선 지원",IF(P57=1,"② 예방 대상",IF(M57=1,"③ 구조적 공백","④ 관찰")))</f>
        <v>④ 관찰</v>
      </c>
      <c r="R57" s="9" t="n">
        <v>0.3831</v>
      </c>
      <c r="S57" s="2" t="n">
        <f aca="false">RANK(R57,$R$2:$R$230,0)</f>
        <v>44</v>
      </c>
    </row>
    <row r="58" customFormat="false" ht="15" hidden="false" customHeight="false" outlineLevel="0" collapsed="false">
      <c r="A58" s="2" t="s">
        <v>175</v>
      </c>
      <c r="B58" s="3" t="s">
        <v>113</v>
      </c>
      <c r="C58" s="3" t="s">
        <v>136</v>
      </c>
      <c r="D58" s="2" t="n">
        <v>2024</v>
      </c>
      <c r="E58" s="2" t="n">
        <v>2027</v>
      </c>
      <c r="F58" s="2" t="n">
        <v>9263</v>
      </c>
      <c r="G58" s="2" t="n">
        <v>154</v>
      </c>
      <c r="H58" s="8" t="n">
        <v>16.6252833855123</v>
      </c>
      <c r="I58" s="2" t="n">
        <v>7</v>
      </c>
      <c r="J58" s="2" t="n">
        <v>26</v>
      </c>
      <c r="K58" s="2" t="n">
        <f aca="false">IF(H58&lt;=PERCENTILE($H$2:$H$230,설명!$B$26),1,0)</f>
        <v>0</v>
      </c>
      <c r="L58" s="2" t="n">
        <f aca="false">IF(I58=0,1,0)</f>
        <v>0</v>
      </c>
      <c r="M58" s="2" t="n">
        <f aca="false">L58</f>
        <v>0</v>
      </c>
      <c r="N58" s="9" t="n">
        <v>0.328</v>
      </c>
      <c r="O58" s="2" t="n">
        <f aca="false">RANK(N58,$N$2:$N$230,0)</f>
        <v>57</v>
      </c>
      <c r="P58" s="2" t="n">
        <f aca="false">IF(O58&lt;=설명!$B$25,1,0)</f>
        <v>0</v>
      </c>
      <c r="Q58" s="2" t="str">
        <f aca="false">IF(AND(M58=1,P58=1),"① 최우선 지원",IF(P58=1,"② 예방 대상",IF(M58=1,"③ 구조적 공백","④ 관찰")))</f>
        <v>④ 관찰</v>
      </c>
      <c r="R58" s="9" t="n">
        <v>0.343</v>
      </c>
      <c r="S58" s="2" t="n">
        <f aca="false">RANK(R58,$R$2:$R$230,0)</f>
        <v>62</v>
      </c>
    </row>
    <row r="59" customFormat="false" ht="15" hidden="false" customHeight="false" outlineLevel="0" collapsed="false">
      <c r="A59" s="2" t="s">
        <v>176</v>
      </c>
      <c r="B59" s="3" t="s">
        <v>54</v>
      </c>
      <c r="C59" s="3" t="s">
        <v>177</v>
      </c>
      <c r="D59" s="2" t="n">
        <v>2024</v>
      </c>
      <c r="E59" s="2" t="n">
        <v>2027</v>
      </c>
      <c r="F59" s="2" t="n">
        <v>600</v>
      </c>
      <c r="G59" s="2" t="n">
        <v>11</v>
      </c>
      <c r="H59" s="8" t="n">
        <v>18.3333333333333</v>
      </c>
      <c r="I59" s="2" t="n">
        <v>0</v>
      </c>
      <c r="J59" s="2" t="n">
        <v>0</v>
      </c>
      <c r="K59" s="2" t="n">
        <f aca="false">IF(H59&lt;=PERCENTILE($H$2:$H$230,설명!$B$26),1,0)</f>
        <v>0</v>
      </c>
      <c r="L59" s="2" t="n">
        <f aca="false">IF(I59=0,1,0)</f>
        <v>1</v>
      </c>
      <c r="M59" s="2" t="n">
        <f aca="false">L59</f>
        <v>1</v>
      </c>
      <c r="N59" s="9" t="n">
        <v>0.3245</v>
      </c>
      <c r="O59" s="2" t="n">
        <f aca="false">RANK(N59,$N$2:$N$230,0)</f>
        <v>58</v>
      </c>
      <c r="P59" s="2" t="n">
        <f aca="false">IF(O59&lt;=설명!$B$25,1,0)</f>
        <v>0</v>
      </c>
      <c r="Q59" s="2" t="str">
        <f aca="false">IF(AND(M59=1,P59=1),"① 최우선 지원",IF(P59=1,"② 예방 대상",IF(M59=1,"③ 구조적 공백","④ 관찰")))</f>
        <v>③ 구조적 공백</v>
      </c>
      <c r="R59" s="9" t="n">
        <v>0.3006</v>
      </c>
      <c r="S59" s="2" t="n">
        <f aca="false">RANK(R59,$R$2:$R$230,0)</f>
        <v>88</v>
      </c>
    </row>
    <row r="60" customFormat="false" ht="15" hidden="false" customHeight="false" outlineLevel="0" collapsed="false">
      <c r="A60" s="2" t="s">
        <v>178</v>
      </c>
      <c r="B60" s="3" t="s">
        <v>63</v>
      </c>
      <c r="C60" s="3" t="s">
        <v>179</v>
      </c>
      <c r="D60" s="2" t="n">
        <v>2024</v>
      </c>
      <c r="E60" s="2" t="n">
        <v>2027</v>
      </c>
      <c r="F60" s="2" t="n">
        <v>1642</v>
      </c>
      <c r="G60" s="2" t="n">
        <v>33</v>
      </c>
      <c r="H60" s="8" t="n">
        <v>20.0974421437272</v>
      </c>
      <c r="I60" s="2" t="n">
        <v>2</v>
      </c>
      <c r="J60" s="2" t="n">
        <v>2</v>
      </c>
      <c r="K60" s="2" t="n">
        <f aca="false">IF(H60&lt;=PERCENTILE($H$2:$H$230,설명!$B$26),1,0)</f>
        <v>0</v>
      </c>
      <c r="L60" s="2" t="n">
        <f aca="false">IF(I60=0,1,0)</f>
        <v>0</v>
      </c>
      <c r="M60" s="2" t="n">
        <f aca="false">L60</f>
        <v>0</v>
      </c>
      <c r="N60" s="9" t="n">
        <v>0.3233</v>
      </c>
      <c r="O60" s="2" t="n">
        <f aca="false">RANK(N60,$N$2:$N$230,0)</f>
        <v>59</v>
      </c>
      <c r="P60" s="2" t="n">
        <f aca="false">IF(O60&lt;=설명!$B$25,1,0)</f>
        <v>0</v>
      </c>
      <c r="Q60" s="2" t="str">
        <f aca="false">IF(AND(M60=1,P60=1),"① 최우선 지원",IF(P60=1,"② 예방 대상",IF(M60=1,"③ 구조적 공백","④ 관찰")))</f>
        <v>④ 관찰</v>
      </c>
      <c r="R60" s="9" t="n">
        <v>0.3687</v>
      </c>
      <c r="S60" s="2" t="n">
        <f aca="false">RANK(R60,$R$2:$R$230,0)</f>
        <v>53</v>
      </c>
    </row>
    <row r="61" customFormat="false" ht="15" hidden="false" customHeight="false" outlineLevel="0" collapsed="false">
      <c r="A61" s="2" t="s">
        <v>180</v>
      </c>
      <c r="B61" s="3" t="s">
        <v>79</v>
      </c>
      <c r="C61" s="3" t="s">
        <v>181</v>
      </c>
      <c r="D61" s="2" t="n">
        <v>2024</v>
      </c>
      <c r="E61" s="2" t="n">
        <v>2027</v>
      </c>
      <c r="F61" s="2" t="n">
        <v>1926</v>
      </c>
      <c r="G61" s="2" t="n">
        <v>33</v>
      </c>
      <c r="H61" s="8" t="n">
        <v>17.1339563862928</v>
      </c>
      <c r="I61" s="2" t="n">
        <v>3</v>
      </c>
      <c r="J61" s="2" t="n">
        <v>12</v>
      </c>
      <c r="K61" s="2" t="n">
        <f aca="false">IF(H61&lt;=PERCENTILE($H$2:$H$230,설명!$B$26),1,0)</f>
        <v>0</v>
      </c>
      <c r="L61" s="2" t="n">
        <f aca="false">IF(I61=0,1,0)</f>
        <v>0</v>
      </c>
      <c r="M61" s="2" t="n">
        <f aca="false">L61</f>
        <v>0</v>
      </c>
      <c r="N61" s="9" t="n">
        <v>0.3229</v>
      </c>
      <c r="O61" s="2" t="n">
        <f aca="false">RANK(N61,$N$2:$N$230,0)</f>
        <v>60</v>
      </c>
      <c r="P61" s="2" t="n">
        <f aca="false">IF(O61&lt;=설명!$B$25,1,0)</f>
        <v>0</v>
      </c>
      <c r="Q61" s="2" t="str">
        <f aca="false">IF(AND(M61=1,P61=1),"① 최우선 지원",IF(P61=1,"② 예방 대상",IF(M61=1,"③ 구조적 공백","④ 관찰")))</f>
        <v>④ 관찰</v>
      </c>
      <c r="R61" s="9" t="n">
        <v>0.3092</v>
      </c>
      <c r="S61" s="2" t="n">
        <f aca="false">RANK(R61,$R$2:$R$230,0)</f>
        <v>84</v>
      </c>
    </row>
    <row r="62" customFormat="false" ht="15" hidden="false" customHeight="false" outlineLevel="0" collapsed="false">
      <c r="A62" s="2" t="s">
        <v>182</v>
      </c>
      <c r="B62" s="3" t="s">
        <v>79</v>
      </c>
      <c r="C62" s="3" t="s">
        <v>183</v>
      </c>
      <c r="D62" s="2" t="n">
        <v>2024</v>
      </c>
      <c r="E62" s="2" t="n">
        <v>2027</v>
      </c>
      <c r="F62" s="2" t="n">
        <v>7584</v>
      </c>
      <c r="G62" s="2" t="n">
        <v>112</v>
      </c>
      <c r="H62" s="8" t="n">
        <v>14.7679324894515</v>
      </c>
      <c r="I62" s="2" t="n">
        <v>7</v>
      </c>
      <c r="J62" s="2" t="n">
        <v>25</v>
      </c>
      <c r="K62" s="2" t="n">
        <f aca="false">IF(H62&lt;=PERCENTILE($H$2:$H$230,설명!$B$26),1,0)</f>
        <v>1</v>
      </c>
      <c r="L62" s="2" t="n">
        <f aca="false">IF(I62=0,1,0)</f>
        <v>0</v>
      </c>
      <c r="M62" s="2" t="n">
        <f aca="false">L62</f>
        <v>0</v>
      </c>
      <c r="N62" s="9" t="n">
        <v>0.3198</v>
      </c>
      <c r="O62" s="2" t="n">
        <f aca="false">RANK(N62,$N$2:$N$230,0)</f>
        <v>61</v>
      </c>
      <c r="P62" s="2" t="n">
        <f aca="false">IF(O62&lt;=설명!$B$25,1,0)</f>
        <v>0</v>
      </c>
      <c r="Q62" s="2" t="str">
        <f aca="false">IF(AND(M62=1,P62=1),"① 최우선 지원",IF(P62=1,"② 예방 대상",IF(M62=1,"③ 구조적 공백","④ 관찰")))</f>
        <v>④ 관찰</v>
      </c>
      <c r="R62" s="9" t="n">
        <v>0.3166</v>
      </c>
      <c r="S62" s="2" t="n">
        <f aca="false">RANK(R62,$R$2:$R$230,0)</f>
        <v>77</v>
      </c>
    </row>
    <row r="63" customFormat="false" ht="15" hidden="false" customHeight="false" outlineLevel="0" collapsed="false">
      <c r="A63" s="2" t="s">
        <v>184</v>
      </c>
      <c r="B63" s="3" t="s">
        <v>108</v>
      </c>
      <c r="C63" s="3" t="s">
        <v>104</v>
      </c>
      <c r="D63" s="2" t="n">
        <v>2024</v>
      </c>
      <c r="E63" s="2" t="n">
        <v>2027</v>
      </c>
      <c r="F63" s="2" t="n">
        <v>6043</v>
      </c>
      <c r="G63" s="2" t="n">
        <v>110</v>
      </c>
      <c r="H63" s="8" t="n">
        <v>18.202879364554</v>
      </c>
      <c r="I63" s="2" t="n">
        <v>6</v>
      </c>
      <c r="J63" s="2" t="n">
        <v>43</v>
      </c>
      <c r="K63" s="2" t="n">
        <f aca="false">IF(H63&lt;=PERCENTILE($H$2:$H$230,설명!$B$26),1,0)</f>
        <v>0</v>
      </c>
      <c r="L63" s="2" t="n">
        <f aca="false">IF(I63=0,1,0)</f>
        <v>0</v>
      </c>
      <c r="M63" s="2" t="n">
        <f aca="false">L63</f>
        <v>0</v>
      </c>
      <c r="N63" s="9" t="n">
        <v>0.3186</v>
      </c>
      <c r="O63" s="2" t="n">
        <f aca="false">RANK(N63,$N$2:$N$230,0)</f>
        <v>62</v>
      </c>
      <c r="P63" s="2" t="n">
        <f aca="false">IF(O63&lt;=설명!$B$25,1,0)</f>
        <v>0</v>
      </c>
      <c r="Q63" s="2" t="str">
        <f aca="false">IF(AND(M63=1,P63=1),"① 최우선 지원",IF(P63=1,"② 예방 대상",IF(M63=1,"③ 구조적 공백","④ 관찰")))</f>
        <v>④ 관찰</v>
      </c>
      <c r="R63" s="9" t="n">
        <v>0.3632</v>
      </c>
      <c r="S63" s="2" t="n">
        <f aca="false">RANK(R63,$R$2:$R$230,0)</f>
        <v>56</v>
      </c>
    </row>
    <row r="64" customFormat="false" ht="15" hidden="false" customHeight="false" outlineLevel="0" collapsed="false">
      <c r="A64" s="2" t="s">
        <v>185</v>
      </c>
      <c r="B64" s="3" t="s">
        <v>66</v>
      </c>
      <c r="C64" s="3" t="s">
        <v>186</v>
      </c>
      <c r="D64" s="2" t="n">
        <v>2024</v>
      </c>
      <c r="E64" s="2" t="n">
        <v>2027</v>
      </c>
      <c r="F64" s="2" t="n">
        <v>2943</v>
      </c>
      <c r="G64" s="2" t="n">
        <v>56</v>
      </c>
      <c r="H64" s="8" t="n">
        <v>19.028202514441</v>
      </c>
      <c r="I64" s="2" t="n">
        <v>4</v>
      </c>
      <c r="J64" s="2" t="n">
        <v>6</v>
      </c>
      <c r="K64" s="2" t="n">
        <f aca="false">IF(H64&lt;=PERCENTILE($H$2:$H$230,설명!$B$26),1,0)</f>
        <v>0</v>
      </c>
      <c r="L64" s="2" t="n">
        <f aca="false">IF(I64=0,1,0)</f>
        <v>0</v>
      </c>
      <c r="M64" s="2" t="n">
        <f aca="false">L64</f>
        <v>0</v>
      </c>
      <c r="N64" s="9" t="n">
        <v>0.3186</v>
      </c>
      <c r="O64" s="2" t="n">
        <f aca="false">RANK(N64,$N$2:$N$230,0)</f>
        <v>62</v>
      </c>
      <c r="P64" s="2" t="n">
        <f aca="false">IF(O64&lt;=설명!$B$25,1,0)</f>
        <v>0</v>
      </c>
      <c r="Q64" s="2" t="str">
        <f aca="false">IF(AND(M64=1,P64=1),"① 최우선 지원",IF(P64=1,"② 예방 대상",IF(M64=1,"③ 구조적 공백","④ 관찰")))</f>
        <v>④ 관찰</v>
      </c>
      <c r="R64" s="9" t="n">
        <v>0.3179</v>
      </c>
      <c r="S64" s="2" t="n">
        <f aca="false">RANK(R64,$R$2:$R$230,0)</f>
        <v>75</v>
      </c>
    </row>
    <row r="65" customFormat="false" ht="15" hidden="false" customHeight="false" outlineLevel="0" collapsed="false">
      <c r="A65" s="2" t="s">
        <v>187</v>
      </c>
      <c r="B65" s="3" t="s">
        <v>79</v>
      </c>
      <c r="C65" s="3" t="s">
        <v>188</v>
      </c>
      <c r="D65" s="2" t="n">
        <v>2024</v>
      </c>
      <c r="E65" s="2" t="n">
        <v>2027</v>
      </c>
      <c r="F65" s="2" t="n">
        <v>4042</v>
      </c>
      <c r="G65" s="2" t="n">
        <v>61</v>
      </c>
      <c r="H65" s="8" t="n">
        <v>15.0915388421574</v>
      </c>
      <c r="I65" s="2" t="n">
        <v>5</v>
      </c>
      <c r="J65" s="2" t="n">
        <v>16</v>
      </c>
      <c r="K65" s="2" t="n">
        <f aca="false">IF(H65&lt;=PERCENTILE($H$2:$H$230,설명!$B$26),1,0)</f>
        <v>1</v>
      </c>
      <c r="L65" s="2" t="n">
        <f aca="false">IF(I65=0,1,0)</f>
        <v>0</v>
      </c>
      <c r="M65" s="2" t="n">
        <f aca="false">L65</f>
        <v>0</v>
      </c>
      <c r="N65" s="9" t="n">
        <v>0.3149</v>
      </c>
      <c r="O65" s="2" t="n">
        <f aca="false">RANK(N65,$N$2:$N$230,0)</f>
        <v>64</v>
      </c>
      <c r="P65" s="2" t="n">
        <f aca="false">IF(O65&lt;=설명!$B$25,1,0)</f>
        <v>0</v>
      </c>
      <c r="Q65" s="2" t="str">
        <f aca="false">IF(AND(M65=1,P65=1),"① 최우선 지원",IF(P65=1,"② 예방 대상",IF(M65=1,"③ 구조적 공백","④ 관찰")))</f>
        <v>④ 관찰</v>
      </c>
      <c r="R65" s="9" t="n">
        <v>0.3099</v>
      </c>
      <c r="S65" s="2" t="n">
        <f aca="false">RANK(R65,$R$2:$R$230,0)</f>
        <v>82</v>
      </c>
    </row>
    <row r="66" customFormat="false" ht="15" hidden="false" customHeight="false" outlineLevel="0" collapsed="false">
      <c r="A66" s="2" t="s">
        <v>189</v>
      </c>
      <c r="B66" s="3" t="s">
        <v>63</v>
      </c>
      <c r="C66" s="3" t="s">
        <v>190</v>
      </c>
      <c r="D66" s="2" t="n">
        <v>2024</v>
      </c>
      <c r="E66" s="2" t="n">
        <v>2027</v>
      </c>
      <c r="F66" s="2" t="n">
        <v>2459</v>
      </c>
      <c r="G66" s="2" t="n">
        <v>61</v>
      </c>
      <c r="H66" s="8" t="n">
        <v>24.806832045547</v>
      </c>
      <c r="I66" s="2" t="n">
        <v>4</v>
      </c>
      <c r="J66" s="2" t="n">
        <v>6</v>
      </c>
      <c r="K66" s="2" t="n">
        <f aca="false">IF(H66&lt;=PERCENTILE($H$2:$H$230,설명!$B$26),1,0)</f>
        <v>0</v>
      </c>
      <c r="L66" s="2" t="n">
        <f aca="false">IF(I66=0,1,0)</f>
        <v>0</v>
      </c>
      <c r="M66" s="2" t="n">
        <f aca="false">L66</f>
        <v>0</v>
      </c>
      <c r="N66" s="9" t="n">
        <v>0.313</v>
      </c>
      <c r="O66" s="2" t="n">
        <f aca="false">RANK(N66,$N$2:$N$230,0)</f>
        <v>65</v>
      </c>
      <c r="P66" s="2" t="n">
        <f aca="false">IF(O66&lt;=설명!$B$25,1,0)</f>
        <v>0</v>
      </c>
      <c r="Q66" s="2" t="str">
        <f aca="false">IF(AND(M66=1,P66=1),"① 최우선 지원",IF(P66=1,"② 예방 대상",IF(M66=1,"③ 구조적 공백","④ 관찰")))</f>
        <v>④ 관찰</v>
      </c>
      <c r="R66" s="9" t="n">
        <v>0.3458</v>
      </c>
      <c r="S66" s="2" t="n">
        <f aca="false">RANK(R66,$R$2:$R$230,0)</f>
        <v>61</v>
      </c>
    </row>
    <row r="67" customFormat="false" ht="15" hidden="false" customHeight="false" outlineLevel="0" collapsed="false">
      <c r="A67" s="2" t="s">
        <v>191</v>
      </c>
      <c r="B67" s="3" t="s">
        <v>79</v>
      </c>
      <c r="C67" s="3" t="s">
        <v>136</v>
      </c>
      <c r="D67" s="2" t="n">
        <v>2024</v>
      </c>
      <c r="E67" s="2" t="n">
        <v>2027</v>
      </c>
      <c r="F67" s="2" t="n">
        <v>7308</v>
      </c>
      <c r="G67" s="2" t="n">
        <v>127</v>
      </c>
      <c r="H67" s="8" t="n">
        <v>17.3782156540777</v>
      </c>
      <c r="I67" s="2" t="n">
        <v>16</v>
      </c>
      <c r="J67" s="2" t="n">
        <v>33</v>
      </c>
      <c r="K67" s="2" t="n">
        <f aca="false">IF(H67&lt;=PERCENTILE($H$2:$H$230,설명!$B$26),1,0)</f>
        <v>0</v>
      </c>
      <c r="L67" s="2" t="n">
        <f aca="false">IF(I67=0,1,0)</f>
        <v>0</v>
      </c>
      <c r="M67" s="2" t="n">
        <f aca="false">L67</f>
        <v>0</v>
      </c>
      <c r="N67" s="9" t="n">
        <v>0.3119</v>
      </c>
      <c r="O67" s="2" t="n">
        <f aca="false">RANK(N67,$N$2:$N$230,0)</f>
        <v>66</v>
      </c>
      <c r="P67" s="2" t="n">
        <f aca="false">IF(O67&lt;=설명!$B$25,1,0)</f>
        <v>0</v>
      </c>
      <c r="Q67" s="2" t="str">
        <f aca="false">IF(AND(M67=1,P67=1),"① 최우선 지원",IF(P67=1,"② 예방 대상",IF(M67=1,"③ 구조적 공백","④ 관찰")))</f>
        <v>④ 관찰</v>
      </c>
      <c r="R67" s="9" t="n">
        <v>0.2732</v>
      </c>
      <c r="S67" s="2" t="n">
        <f aca="false">RANK(R67,$R$2:$R$230,0)</f>
        <v>104</v>
      </c>
    </row>
    <row r="68" customFormat="false" ht="15" hidden="false" customHeight="false" outlineLevel="0" collapsed="false">
      <c r="A68" s="2" t="s">
        <v>192</v>
      </c>
      <c r="B68" s="3" t="s">
        <v>66</v>
      </c>
      <c r="C68" s="3" t="s">
        <v>193</v>
      </c>
      <c r="D68" s="2" t="n">
        <v>2024</v>
      </c>
      <c r="E68" s="2" t="n">
        <v>2027</v>
      </c>
      <c r="F68" s="2" t="n">
        <v>8793</v>
      </c>
      <c r="G68" s="2" t="n">
        <v>173</v>
      </c>
      <c r="H68" s="8" t="n">
        <v>19.6747412714659</v>
      </c>
      <c r="I68" s="2" t="n">
        <v>14</v>
      </c>
      <c r="J68" s="2" t="n">
        <v>46</v>
      </c>
      <c r="K68" s="2" t="n">
        <f aca="false">IF(H68&lt;=PERCENTILE($H$2:$H$230,설명!$B$26),1,0)</f>
        <v>0</v>
      </c>
      <c r="L68" s="2" t="n">
        <f aca="false">IF(I68=0,1,0)</f>
        <v>0</v>
      </c>
      <c r="M68" s="2" t="n">
        <f aca="false">L68</f>
        <v>0</v>
      </c>
      <c r="N68" s="9" t="n">
        <v>0.3102</v>
      </c>
      <c r="O68" s="2" t="n">
        <f aca="false">RANK(N68,$N$2:$N$230,0)</f>
        <v>67</v>
      </c>
      <c r="P68" s="2" t="n">
        <f aca="false">IF(O68&lt;=설명!$B$25,1,0)</f>
        <v>0</v>
      </c>
      <c r="Q68" s="2" t="str">
        <f aca="false">IF(AND(M68=1,P68=1),"① 최우선 지원",IF(P68=1,"② 예방 대상",IF(M68=1,"③ 구조적 공백","④ 관찰")))</f>
        <v>④ 관찰</v>
      </c>
      <c r="R68" s="9" t="n">
        <v>0.3057</v>
      </c>
      <c r="S68" s="2" t="n">
        <f aca="false">RANK(R68,$R$2:$R$230,0)</f>
        <v>86</v>
      </c>
    </row>
    <row r="69" customFormat="false" ht="15" hidden="false" customHeight="false" outlineLevel="0" collapsed="false">
      <c r="A69" s="2" t="s">
        <v>194</v>
      </c>
      <c r="B69" s="3" t="s">
        <v>63</v>
      </c>
      <c r="C69" s="3" t="s">
        <v>195</v>
      </c>
      <c r="D69" s="2" t="n">
        <v>2024</v>
      </c>
      <c r="E69" s="2" t="n">
        <v>2027</v>
      </c>
      <c r="F69" s="2" t="n">
        <v>5764</v>
      </c>
      <c r="G69" s="2" t="n">
        <v>120</v>
      </c>
      <c r="H69" s="8" t="n">
        <v>20.8188757807078</v>
      </c>
      <c r="I69" s="2" t="n">
        <v>5</v>
      </c>
      <c r="J69" s="2" t="n">
        <v>11</v>
      </c>
      <c r="K69" s="2" t="n">
        <f aca="false">IF(H69&lt;=PERCENTILE($H$2:$H$230,설명!$B$26),1,0)</f>
        <v>0</v>
      </c>
      <c r="L69" s="2" t="n">
        <f aca="false">IF(I69=0,1,0)</f>
        <v>0</v>
      </c>
      <c r="M69" s="2" t="n">
        <f aca="false">L69</f>
        <v>0</v>
      </c>
      <c r="N69" s="9" t="n">
        <v>0.31</v>
      </c>
      <c r="O69" s="2" t="n">
        <f aca="false">RANK(N69,$N$2:$N$230,0)</f>
        <v>68</v>
      </c>
      <c r="P69" s="2" t="n">
        <f aca="false">IF(O69&lt;=설명!$B$25,1,0)</f>
        <v>0</v>
      </c>
      <c r="Q69" s="2" t="str">
        <f aca="false">IF(AND(M69=1,P69=1),"① 최우선 지원",IF(P69=1,"② 예방 대상",IF(M69=1,"③ 구조적 공백","④ 관찰")))</f>
        <v>④ 관찰</v>
      </c>
      <c r="R69" s="9" t="n">
        <v>0.3391</v>
      </c>
      <c r="S69" s="2" t="n">
        <f aca="false">RANK(R69,$R$2:$R$230,0)</f>
        <v>63</v>
      </c>
    </row>
    <row r="70" customFormat="false" ht="15" hidden="false" customHeight="false" outlineLevel="0" collapsed="false">
      <c r="A70" s="2" t="s">
        <v>196</v>
      </c>
      <c r="B70" s="3" t="s">
        <v>153</v>
      </c>
      <c r="C70" s="3" t="s">
        <v>197</v>
      </c>
      <c r="D70" s="2" t="n">
        <v>2024</v>
      </c>
      <c r="E70" s="2" t="n">
        <v>2027</v>
      </c>
      <c r="F70" s="2" t="n">
        <v>884</v>
      </c>
      <c r="G70" s="2" t="n">
        <v>17</v>
      </c>
      <c r="H70" s="8" t="n">
        <v>19.2307692307692</v>
      </c>
      <c r="I70" s="2" t="n">
        <v>1</v>
      </c>
      <c r="J70" s="2" t="n">
        <v>2</v>
      </c>
      <c r="K70" s="2" t="n">
        <f aca="false">IF(H70&lt;=PERCENTILE($H$2:$H$230,설명!$B$26),1,0)</f>
        <v>0</v>
      </c>
      <c r="L70" s="2" t="n">
        <f aca="false">IF(I70=0,1,0)</f>
        <v>0</v>
      </c>
      <c r="M70" s="2" t="n">
        <f aca="false">L70</f>
        <v>0</v>
      </c>
      <c r="N70" s="9" t="n">
        <v>0.3098</v>
      </c>
      <c r="O70" s="2" t="n">
        <f aca="false">RANK(N70,$N$2:$N$230,0)</f>
        <v>69</v>
      </c>
      <c r="P70" s="2" t="n">
        <f aca="false">IF(O70&lt;=설명!$B$25,1,0)</f>
        <v>0</v>
      </c>
      <c r="Q70" s="2" t="str">
        <f aca="false">IF(AND(M70=1,P70=1),"① 최우선 지원",IF(P70=1,"② 예방 대상",IF(M70=1,"③ 구조적 공백","④ 관찰")))</f>
        <v>④ 관찰</v>
      </c>
      <c r="R70" s="9" t="n">
        <v>0.3811</v>
      </c>
      <c r="S70" s="2" t="n">
        <f aca="false">RANK(R70,$R$2:$R$230,0)</f>
        <v>46</v>
      </c>
    </row>
    <row r="71" customFormat="false" ht="15" hidden="false" customHeight="false" outlineLevel="0" collapsed="false">
      <c r="A71" s="2" t="s">
        <v>198</v>
      </c>
      <c r="B71" s="3" t="s">
        <v>199</v>
      </c>
      <c r="C71" s="3" t="s">
        <v>200</v>
      </c>
      <c r="D71" s="2" t="n">
        <v>2024</v>
      </c>
      <c r="E71" s="2" t="n">
        <v>2027</v>
      </c>
      <c r="F71" s="2" t="n">
        <v>806</v>
      </c>
      <c r="G71" s="2" t="n">
        <v>15</v>
      </c>
      <c r="H71" s="8" t="n">
        <v>18.6104218362283</v>
      </c>
      <c r="I71" s="2" t="n">
        <v>1</v>
      </c>
      <c r="J71" s="2" t="n">
        <v>1</v>
      </c>
      <c r="K71" s="2" t="n">
        <f aca="false">IF(H71&lt;=PERCENTILE($H$2:$H$230,설명!$B$26),1,0)</f>
        <v>0</v>
      </c>
      <c r="L71" s="2" t="n">
        <f aca="false">IF(I71=0,1,0)</f>
        <v>0</v>
      </c>
      <c r="M71" s="2" t="n">
        <f aca="false">L71</f>
        <v>0</v>
      </c>
      <c r="N71" s="9" t="n">
        <v>0.3088</v>
      </c>
      <c r="O71" s="2" t="n">
        <f aca="false">RANK(N71,$N$2:$N$230,0)</f>
        <v>70</v>
      </c>
      <c r="P71" s="2" t="n">
        <f aca="false">IF(O71&lt;=설명!$B$25,1,0)</f>
        <v>0</v>
      </c>
      <c r="Q71" s="2" t="str">
        <f aca="false">IF(AND(M71=1,P71=1),"① 최우선 지원",IF(P71=1,"② 예방 대상",IF(M71=1,"③ 구조적 공백","④ 관찰")))</f>
        <v>④ 관찰</v>
      </c>
      <c r="R71" s="9" t="n">
        <v>0.4136</v>
      </c>
      <c r="S71" s="2" t="n">
        <f aca="false">RANK(R71,$R$2:$R$230,0)</f>
        <v>36</v>
      </c>
    </row>
    <row r="72" customFormat="false" ht="15" hidden="false" customHeight="false" outlineLevel="0" collapsed="false">
      <c r="A72" s="2" t="s">
        <v>201</v>
      </c>
      <c r="B72" s="3" t="s">
        <v>76</v>
      </c>
      <c r="C72" s="3" t="s">
        <v>202</v>
      </c>
      <c r="D72" s="2" t="n">
        <v>2024</v>
      </c>
      <c r="E72" s="2" t="n">
        <v>2027</v>
      </c>
      <c r="F72" s="2" t="n">
        <v>3888</v>
      </c>
      <c r="G72" s="2" t="n">
        <v>78</v>
      </c>
      <c r="H72" s="8" t="n">
        <v>20.0617283950617</v>
      </c>
      <c r="I72" s="2" t="n">
        <v>3</v>
      </c>
      <c r="J72" s="2" t="n">
        <v>15</v>
      </c>
      <c r="K72" s="2" t="n">
        <f aca="false">IF(H72&lt;=PERCENTILE($H$2:$H$230,설명!$B$26),1,0)</f>
        <v>0</v>
      </c>
      <c r="L72" s="2" t="n">
        <f aca="false">IF(I72=0,1,0)</f>
        <v>0</v>
      </c>
      <c r="M72" s="2" t="n">
        <f aca="false">L72</f>
        <v>0</v>
      </c>
      <c r="N72" s="9" t="n">
        <v>0.3048</v>
      </c>
      <c r="O72" s="2" t="n">
        <f aca="false">RANK(N72,$N$2:$N$230,0)</f>
        <v>71</v>
      </c>
      <c r="P72" s="2" t="n">
        <f aca="false">IF(O72&lt;=설명!$B$25,1,0)</f>
        <v>0</v>
      </c>
      <c r="Q72" s="2" t="str">
        <f aca="false">IF(AND(M72=1,P72=1),"① 최우선 지원",IF(P72=1,"② 예방 대상",IF(M72=1,"③ 구조적 공백","④ 관찰")))</f>
        <v>④ 관찰</v>
      </c>
      <c r="R72" s="9" t="n">
        <v>0.3478</v>
      </c>
      <c r="S72" s="2" t="n">
        <f aca="false">RANK(R72,$R$2:$R$230,0)</f>
        <v>58</v>
      </c>
    </row>
    <row r="73" customFormat="false" ht="15" hidden="false" customHeight="false" outlineLevel="0" collapsed="false">
      <c r="A73" s="2" t="s">
        <v>203</v>
      </c>
      <c r="B73" s="3" t="s">
        <v>204</v>
      </c>
      <c r="C73" s="3" t="s">
        <v>205</v>
      </c>
      <c r="D73" s="2" t="n">
        <v>2024</v>
      </c>
      <c r="E73" s="2" t="n">
        <v>2027</v>
      </c>
      <c r="F73" s="2" t="n">
        <v>2498</v>
      </c>
      <c r="G73" s="2" t="n">
        <v>53</v>
      </c>
      <c r="H73" s="8" t="n">
        <v>21.2169735788631</v>
      </c>
      <c r="I73" s="2" t="n">
        <v>3</v>
      </c>
      <c r="J73" s="2" t="n">
        <v>5</v>
      </c>
      <c r="K73" s="2" t="n">
        <f aca="false">IF(H73&lt;=PERCENTILE($H$2:$H$230,설명!$B$26),1,0)</f>
        <v>0</v>
      </c>
      <c r="L73" s="2" t="n">
        <f aca="false">IF(I73=0,1,0)</f>
        <v>0</v>
      </c>
      <c r="M73" s="2" t="n">
        <f aca="false">L73</f>
        <v>0</v>
      </c>
      <c r="N73" s="9" t="n">
        <v>0.304</v>
      </c>
      <c r="O73" s="2" t="n">
        <f aca="false">RANK(N73,$N$2:$N$230,0)</f>
        <v>72</v>
      </c>
      <c r="P73" s="2" t="n">
        <f aca="false">IF(O73&lt;=설명!$B$25,1,0)</f>
        <v>0</v>
      </c>
      <c r="Q73" s="2" t="str">
        <f aca="false">IF(AND(M73=1,P73=1),"① 최우선 지원",IF(P73=1,"② 예방 대상",IF(M73=1,"③ 구조적 공백","④ 관찰")))</f>
        <v>④ 관찰</v>
      </c>
      <c r="R73" s="9" t="n">
        <v>0.3817</v>
      </c>
      <c r="S73" s="2" t="n">
        <f aca="false">RANK(R73,$R$2:$R$230,0)</f>
        <v>45</v>
      </c>
    </row>
    <row r="74" customFormat="false" ht="15" hidden="false" customHeight="false" outlineLevel="0" collapsed="false">
      <c r="A74" s="2" t="s">
        <v>206</v>
      </c>
      <c r="B74" s="3" t="s">
        <v>76</v>
      </c>
      <c r="C74" s="3" t="s">
        <v>207</v>
      </c>
      <c r="D74" s="2" t="n">
        <v>2024</v>
      </c>
      <c r="E74" s="2" t="n">
        <v>2027</v>
      </c>
      <c r="F74" s="2" t="n">
        <v>509</v>
      </c>
      <c r="G74" s="2" t="n">
        <v>9</v>
      </c>
      <c r="H74" s="8" t="n">
        <v>17.6817288801572</v>
      </c>
      <c r="I74" s="2" t="n">
        <v>0</v>
      </c>
      <c r="J74" s="2" t="n">
        <v>1</v>
      </c>
      <c r="K74" s="2" t="n">
        <f aca="false">IF(H74&lt;=PERCENTILE($H$2:$H$230,설명!$B$26),1,0)</f>
        <v>0</v>
      </c>
      <c r="L74" s="2" t="n">
        <f aca="false">IF(I74=0,1,0)</f>
        <v>1</v>
      </c>
      <c r="M74" s="2" t="n">
        <f aca="false">L74</f>
        <v>1</v>
      </c>
      <c r="N74" s="9" t="n">
        <v>0.2968</v>
      </c>
      <c r="O74" s="2" t="n">
        <f aca="false">RANK(N74,$N$2:$N$230,0)</f>
        <v>73</v>
      </c>
      <c r="P74" s="2" t="n">
        <f aca="false">IF(O74&lt;=설명!$B$25,1,0)</f>
        <v>0</v>
      </c>
      <c r="Q74" s="2" t="str">
        <f aca="false">IF(AND(M74=1,P74=1),"① 최우선 지원",IF(P74=1,"② 예방 대상",IF(M74=1,"③ 구조적 공백","④ 관찰")))</f>
        <v>③ 구조적 공백</v>
      </c>
      <c r="R74" s="9" t="n">
        <v>0.3906</v>
      </c>
      <c r="S74" s="2" t="n">
        <f aca="false">RANK(R74,$R$2:$R$230,0)</f>
        <v>39</v>
      </c>
    </row>
    <row r="75" customFormat="false" ht="15" hidden="false" customHeight="false" outlineLevel="0" collapsed="false">
      <c r="A75" s="2" t="s">
        <v>208</v>
      </c>
      <c r="B75" s="3" t="s">
        <v>71</v>
      </c>
      <c r="C75" s="3" t="s">
        <v>209</v>
      </c>
      <c r="D75" s="2" t="n">
        <v>2024</v>
      </c>
      <c r="E75" s="2" t="n">
        <v>2027</v>
      </c>
      <c r="F75" s="2" t="n">
        <v>1514</v>
      </c>
      <c r="G75" s="2" t="n">
        <v>12</v>
      </c>
      <c r="H75" s="8" t="n">
        <v>7.92602377807133</v>
      </c>
      <c r="I75" s="2" t="n">
        <v>1</v>
      </c>
      <c r="J75" s="2" t="n">
        <v>3</v>
      </c>
      <c r="K75" s="2" t="n">
        <f aca="false">IF(H75&lt;=PERCENTILE($H$2:$H$230,설명!$B$26),1,0)</f>
        <v>1</v>
      </c>
      <c r="L75" s="2" t="n">
        <f aca="false">IF(I75=0,1,0)</f>
        <v>0</v>
      </c>
      <c r="M75" s="2" t="n">
        <f aca="false">L75</f>
        <v>0</v>
      </c>
      <c r="N75" s="9" t="n">
        <v>0.296</v>
      </c>
      <c r="O75" s="2" t="n">
        <f aca="false">RANK(N75,$N$2:$N$230,0)</f>
        <v>74</v>
      </c>
      <c r="P75" s="2" t="n">
        <f aca="false">IF(O75&lt;=설명!$B$25,1,0)</f>
        <v>0</v>
      </c>
      <c r="Q75" s="2" t="str">
        <f aca="false">IF(AND(M75=1,P75=1),"① 최우선 지원",IF(P75=1,"② 예방 대상",IF(M75=1,"③ 구조적 공백","④ 관찰")))</f>
        <v>④ 관찰</v>
      </c>
      <c r="R75" s="9" t="n">
        <v>0.3355</v>
      </c>
      <c r="S75" s="2" t="n">
        <f aca="false">RANK(R75,$R$2:$R$230,0)</f>
        <v>66</v>
      </c>
    </row>
    <row r="76" customFormat="false" ht="15" hidden="false" customHeight="false" outlineLevel="0" collapsed="false">
      <c r="A76" s="2" t="s">
        <v>210</v>
      </c>
      <c r="B76" s="3" t="s">
        <v>63</v>
      </c>
      <c r="C76" s="3" t="s">
        <v>211</v>
      </c>
      <c r="D76" s="2" t="n">
        <v>2024</v>
      </c>
      <c r="E76" s="2" t="n">
        <v>2027</v>
      </c>
      <c r="F76" s="2" t="n">
        <v>2962</v>
      </c>
      <c r="G76" s="2" t="n">
        <v>52</v>
      </c>
      <c r="H76" s="8" t="n">
        <v>17.5557056043214</v>
      </c>
      <c r="I76" s="2" t="n">
        <v>4</v>
      </c>
      <c r="J76" s="2" t="n">
        <v>8</v>
      </c>
      <c r="K76" s="2" t="n">
        <f aca="false">IF(H76&lt;=PERCENTILE($H$2:$H$230,설명!$B$26),1,0)</f>
        <v>0</v>
      </c>
      <c r="L76" s="2" t="n">
        <f aca="false">IF(I76=0,1,0)</f>
        <v>0</v>
      </c>
      <c r="M76" s="2" t="n">
        <f aca="false">L76</f>
        <v>0</v>
      </c>
      <c r="N76" s="9" t="n">
        <v>0.296</v>
      </c>
      <c r="O76" s="2" t="n">
        <f aca="false">RANK(N76,$N$2:$N$230,0)</f>
        <v>74</v>
      </c>
      <c r="P76" s="2" t="n">
        <f aca="false">IF(O76&lt;=설명!$B$25,1,0)</f>
        <v>0</v>
      </c>
      <c r="Q76" s="2" t="str">
        <f aca="false">IF(AND(M76=1,P76=1),"① 최우선 지원",IF(P76=1,"② 예방 대상",IF(M76=1,"③ 구조적 공백","④ 관찰")))</f>
        <v>④ 관찰</v>
      </c>
      <c r="R76" s="9" t="n">
        <v>0.2876</v>
      </c>
      <c r="S76" s="2" t="n">
        <f aca="false">RANK(R76,$R$2:$R$230,0)</f>
        <v>95</v>
      </c>
    </row>
    <row r="77" customFormat="false" ht="15" hidden="false" customHeight="false" outlineLevel="0" collapsed="false">
      <c r="A77" s="2" t="s">
        <v>212</v>
      </c>
      <c r="B77" s="3" t="s">
        <v>153</v>
      </c>
      <c r="C77" s="3" t="s">
        <v>213</v>
      </c>
      <c r="D77" s="2" t="n">
        <v>2024</v>
      </c>
      <c r="E77" s="2" t="n">
        <v>2027</v>
      </c>
      <c r="F77" s="2" t="n">
        <v>2243</v>
      </c>
      <c r="G77" s="2" t="n">
        <v>47</v>
      </c>
      <c r="H77" s="8" t="n">
        <v>20.9540793580027</v>
      </c>
      <c r="I77" s="2" t="n">
        <v>2</v>
      </c>
      <c r="J77" s="2" t="n">
        <v>6</v>
      </c>
      <c r="K77" s="2" t="n">
        <f aca="false">IF(H77&lt;=PERCENTILE($H$2:$H$230,설명!$B$26),1,0)</f>
        <v>0</v>
      </c>
      <c r="L77" s="2" t="n">
        <f aca="false">IF(I77=0,1,0)</f>
        <v>0</v>
      </c>
      <c r="M77" s="2" t="n">
        <f aca="false">L77</f>
        <v>0</v>
      </c>
      <c r="N77" s="9" t="n">
        <v>0.2938</v>
      </c>
      <c r="O77" s="2" t="n">
        <f aca="false">RANK(N77,$N$2:$N$230,0)</f>
        <v>76</v>
      </c>
      <c r="P77" s="2" t="n">
        <f aca="false">IF(O77&lt;=설명!$B$25,1,0)</f>
        <v>0</v>
      </c>
      <c r="Q77" s="2" t="str">
        <f aca="false">IF(AND(M77=1,P77=1),"① 최우선 지원",IF(P77=1,"② 예방 대상",IF(M77=1,"③ 구조적 공백","④ 관찰")))</f>
        <v>④ 관찰</v>
      </c>
      <c r="R77" s="9" t="n">
        <v>0.3704</v>
      </c>
      <c r="S77" s="2" t="n">
        <f aca="false">RANK(R77,$R$2:$R$230,0)</f>
        <v>51</v>
      </c>
    </row>
    <row r="78" customFormat="false" ht="15" hidden="false" customHeight="false" outlineLevel="0" collapsed="false">
      <c r="A78" s="2" t="s">
        <v>214</v>
      </c>
      <c r="B78" s="3" t="s">
        <v>120</v>
      </c>
      <c r="C78" s="3" t="s">
        <v>215</v>
      </c>
      <c r="D78" s="2" t="n">
        <v>2024</v>
      </c>
      <c r="E78" s="2" t="n">
        <v>2027</v>
      </c>
      <c r="F78" s="2" t="n">
        <v>10706</v>
      </c>
      <c r="G78" s="2" t="n">
        <v>200</v>
      </c>
      <c r="H78" s="8" t="n">
        <v>18.6811133943583</v>
      </c>
      <c r="I78" s="2" t="n">
        <v>24</v>
      </c>
      <c r="J78" s="2" t="n">
        <v>53</v>
      </c>
      <c r="K78" s="2" t="n">
        <f aca="false">IF(H78&lt;=PERCENTILE($H$2:$H$230,설명!$B$26),1,0)</f>
        <v>0</v>
      </c>
      <c r="L78" s="2" t="n">
        <f aca="false">IF(I78=0,1,0)</f>
        <v>0</v>
      </c>
      <c r="M78" s="2" t="n">
        <f aca="false">L78</f>
        <v>0</v>
      </c>
      <c r="N78" s="9" t="n">
        <v>0.2932</v>
      </c>
      <c r="O78" s="2" t="n">
        <f aca="false">RANK(N78,$N$2:$N$230,0)</f>
        <v>77</v>
      </c>
      <c r="P78" s="2" t="n">
        <f aca="false">IF(O78&lt;=설명!$B$25,1,0)</f>
        <v>0</v>
      </c>
      <c r="Q78" s="2" t="str">
        <f aca="false">IF(AND(M78=1,P78=1),"① 최우선 지원",IF(P78=1,"② 예방 대상",IF(M78=1,"③ 구조적 공백","④ 관찰")))</f>
        <v>④ 관찰</v>
      </c>
      <c r="R78" s="9" t="n">
        <v>0.3021</v>
      </c>
      <c r="S78" s="2" t="n">
        <f aca="false">RANK(R78,$R$2:$R$230,0)</f>
        <v>87</v>
      </c>
    </row>
    <row r="79" customFormat="false" ht="15" hidden="false" customHeight="false" outlineLevel="0" collapsed="false">
      <c r="A79" s="2" t="s">
        <v>216</v>
      </c>
      <c r="B79" s="3" t="s">
        <v>54</v>
      </c>
      <c r="C79" s="3" t="s">
        <v>217</v>
      </c>
      <c r="D79" s="2" t="n">
        <v>2024</v>
      </c>
      <c r="E79" s="2" t="n">
        <v>2027</v>
      </c>
      <c r="F79" s="2" t="n">
        <v>566</v>
      </c>
      <c r="G79" s="2" t="n">
        <v>9</v>
      </c>
      <c r="H79" s="8" t="n">
        <v>15.9010600706714</v>
      </c>
      <c r="I79" s="2" t="n">
        <v>1</v>
      </c>
      <c r="J79" s="2" t="n">
        <v>1</v>
      </c>
      <c r="K79" s="2" t="n">
        <f aca="false">IF(H79&lt;=PERCENTILE($H$2:$H$230,설명!$B$26),1,0)</f>
        <v>0</v>
      </c>
      <c r="L79" s="2" t="n">
        <f aca="false">IF(I79=0,1,0)</f>
        <v>0</v>
      </c>
      <c r="M79" s="2" t="n">
        <f aca="false">L79</f>
        <v>0</v>
      </c>
      <c r="N79" s="9" t="n">
        <v>0.2927</v>
      </c>
      <c r="O79" s="2" t="n">
        <f aca="false">RANK(N79,$N$2:$N$230,0)</f>
        <v>78</v>
      </c>
      <c r="P79" s="2" t="n">
        <f aca="false">IF(O79&lt;=설명!$B$25,1,0)</f>
        <v>0</v>
      </c>
      <c r="Q79" s="2" t="str">
        <f aca="false">IF(AND(M79=1,P79=1),"① 최우선 지원",IF(P79=1,"② 예방 대상",IF(M79=1,"③ 구조적 공백","④ 관찰")))</f>
        <v>④ 관찰</v>
      </c>
      <c r="R79" s="9" t="n">
        <v>0.2498</v>
      </c>
      <c r="S79" s="2" t="n">
        <f aca="false">RANK(R79,$R$2:$R$230,0)</f>
        <v>108</v>
      </c>
    </row>
    <row r="80" customFormat="false" ht="15" hidden="false" customHeight="false" outlineLevel="0" collapsed="false">
      <c r="A80" s="2" t="s">
        <v>218</v>
      </c>
      <c r="B80" s="3" t="s">
        <v>135</v>
      </c>
      <c r="C80" s="3" t="s">
        <v>94</v>
      </c>
      <c r="D80" s="2" t="n">
        <v>2024</v>
      </c>
      <c r="E80" s="2" t="n">
        <v>2027</v>
      </c>
      <c r="F80" s="2" t="n">
        <v>3567</v>
      </c>
      <c r="G80" s="2" t="n">
        <v>59</v>
      </c>
      <c r="H80" s="8" t="n">
        <v>16.5405102326885</v>
      </c>
      <c r="I80" s="2" t="n">
        <v>3</v>
      </c>
      <c r="J80" s="2" t="n">
        <v>13</v>
      </c>
      <c r="K80" s="2" t="n">
        <f aca="false">IF(H80&lt;=PERCENTILE($H$2:$H$230,설명!$B$26),1,0)</f>
        <v>0</v>
      </c>
      <c r="L80" s="2" t="n">
        <f aca="false">IF(I80=0,1,0)</f>
        <v>0</v>
      </c>
      <c r="M80" s="2" t="n">
        <f aca="false">L80</f>
        <v>0</v>
      </c>
      <c r="N80" s="9" t="n">
        <v>0.2917</v>
      </c>
      <c r="O80" s="2" t="n">
        <f aca="false">RANK(N80,$N$2:$N$230,0)</f>
        <v>79</v>
      </c>
      <c r="P80" s="2" t="n">
        <f aca="false">IF(O80&lt;=설명!$B$25,1,0)</f>
        <v>0</v>
      </c>
      <c r="Q80" s="2" t="str">
        <f aca="false">IF(AND(M80=1,P80=1),"① 최우선 지원",IF(P80=1,"② 예방 대상",IF(M80=1,"③ 구조적 공백","④ 관찰")))</f>
        <v>④ 관찰</v>
      </c>
      <c r="R80" s="9" t="n">
        <v>0.2903</v>
      </c>
      <c r="S80" s="2" t="n">
        <f aca="false">RANK(R80,$R$2:$R$230,0)</f>
        <v>92</v>
      </c>
    </row>
    <row r="81" customFormat="false" ht="15" hidden="false" customHeight="false" outlineLevel="0" collapsed="false">
      <c r="A81" s="2" t="s">
        <v>219</v>
      </c>
      <c r="B81" s="3" t="s">
        <v>204</v>
      </c>
      <c r="C81" s="3" t="s">
        <v>220</v>
      </c>
      <c r="D81" s="2" t="n">
        <v>2024</v>
      </c>
      <c r="E81" s="2" t="n">
        <v>2027</v>
      </c>
      <c r="F81" s="2" t="n">
        <v>2369</v>
      </c>
      <c r="G81" s="2" t="n">
        <v>44</v>
      </c>
      <c r="H81" s="8" t="n">
        <v>18.5732376530182</v>
      </c>
      <c r="I81" s="2" t="n">
        <v>5</v>
      </c>
      <c r="J81" s="2" t="n">
        <v>8</v>
      </c>
      <c r="K81" s="2" t="n">
        <f aca="false">IF(H81&lt;=PERCENTILE($H$2:$H$230,설명!$B$26),1,0)</f>
        <v>0</v>
      </c>
      <c r="L81" s="2" t="n">
        <f aca="false">IF(I81=0,1,0)</f>
        <v>0</v>
      </c>
      <c r="M81" s="2" t="n">
        <f aca="false">L81</f>
        <v>0</v>
      </c>
      <c r="N81" s="9" t="n">
        <v>0.2913</v>
      </c>
      <c r="O81" s="2" t="n">
        <f aca="false">RANK(N81,$N$2:$N$230,0)</f>
        <v>80</v>
      </c>
      <c r="P81" s="2" t="n">
        <f aca="false">IF(O81&lt;=설명!$B$25,1,0)</f>
        <v>0</v>
      </c>
      <c r="Q81" s="2" t="str">
        <f aca="false">IF(AND(M81=1,P81=1),"① 최우선 지원",IF(P81=1,"② 예방 대상",IF(M81=1,"③ 구조적 공백","④ 관찰")))</f>
        <v>④ 관찰</v>
      </c>
      <c r="R81" s="9" t="n">
        <v>0.3785</v>
      </c>
      <c r="S81" s="2" t="n">
        <f aca="false">RANK(R81,$R$2:$R$230,0)</f>
        <v>48</v>
      </c>
    </row>
    <row r="82" customFormat="false" ht="15" hidden="false" customHeight="false" outlineLevel="0" collapsed="false">
      <c r="A82" s="2" t="s">
        <v>221</v>
      </c>
      <c r="B82" s="3" t="s">
        <v>204</v>
      </c>
      <c r="C82" s="3" t="s">
        <v>222</v>
      </c>
      <c r="D82" s="2" t="n">
        <v>2024</v>
      </c>
      <c r="E82" s="2" t="n">
        <v>2027</v>
      </c>
      <c r="F82" s="2" t="n">
        <v>9475</v>
      </c>
      <c r="G82" s="2" t="n">
        <v>170</v>
      </c>
      <c r="H82" s="8" t="n">
        <v>17.9419525065963</v>
      </c>
      <c r="I82" s="2" t="n">
        <v>11</v>
      </c>
      <c r="J82" s="2" t="n">
        <v>47</v>
      </c>
      <c r="K82" s="2" t="n">
        <f aca="false">IF(H82&lt;=PERCENTILE($H$2:$H$230,설명!$B$26),1,0)</f>
        <v>0</v>
      </c>
      <c r="L82" s="2" t="n">
        <f aca="false">IF(I82=0,1,0)</f>
        <v>0</v>
      </c>
      <c r="M82" s="2" t="n">
        <f aca="false">L82</f>
        <v>0</v>
      </c>
      <c r="N82" s="9" t="n">
        <v>0.2908</v>
      </c>
      <c r="O82" s="2" t="n">
        <f aca="false">RANK(N82,$N$2:$N$230,0)</f>
        <v>81</v>
      </c>
      <c r="P82" s="2" t="n">
        <f aca="false">IF(O82&lt;=설명!$B$25,1,0)</f>
        <v>0</v>
      </c>
      <c r="Q82" s="2" t="str">
        <f aca="false">IF(AND(M82=1,P82=1),"① 최우선 지원",IF(P82=1,"② 예방 대상",IF(M82=1,"③ 구조적 공백","④ 관찰")))</f>
        <v>④ 관찰</v>
      </c>
      <c r="R82" s="9" t="n">
        <v>0.3232</v>
      </c>
      <c r="S82" s="2" t="n">
        <f aca="false">RANK(R82,$R$2:$R$230,0)</f>
        <v>73</v>
      </c>
    </row>
    <row r="83" customFormat="false" ht="15" hidden="false" customHeight="false" outlineLevel="0" collapsed="false">
      <c r="A83" s="2" t="s">
        <v>223</v>
      </c>
      <c r="B83" s="3" t="s">
        <v>90</v>
      </c>
      <c r="C83" s="3" t="s">
        <v>224</v>
      </c>
      <c r="D83" s="2" t="n">
        <v>2024</v>
      </c>
      <c r="E83" s="2" t="n">
        <v>2027</v>
      </c>
      <c r="F83" s="2" t="n">
        <v>4585</v>
      </c>
      <c r="G83" s="2" t="n">
        <v>82</v>
      </c>
      <c r="H83" s="8" t="n">
        <v>17.8844056706652</v>
      </c>
      <c r="I83" s="2" t="n">
        <v>3</v>
      </c>
      <c r="J83" s="2" t="n">
        <v>14</v>
      </c>
      <c r="K83" s="2" t="n">
        <f aca="false">IF(H83&lt;=PERCENTILE($H$2:$H$230,설명!$B$26),1,0)</f>
        <v>0</v>
      </c>
      <c r="L83" s="2" t="n">
        <f aca="false">IF(I83=0,1,0)</f>
        <v>0</v>
      </c>
      <c r="M83" s="2" t="n">
        <f aca="false">L83</f>
        <v>0</v>
      </c>
      <c r="N83" s="9" t="n">
        <v>0.288</v>
      </c>
      <c r="O83" s="2" t="n">
        <f aca="false">RANK(N83,$N$2:$N$230,0)</f>
        <v>82</v>
      </c>
      <c r="P83" s="2" t="n">
        <f aca="false">IF(O83&lt;=설명!$B$25,1,0)</f>
        <v>0</v>
      </c>
      <c r="Q83" s="2" t="str">
        <f aca="false">IF(AND(M83=1,P83=1),"① 최우선 지원",IF(P83=1,"② 예방 대상",IF(M83=1,"③ 구조적 공백","④ 관찰")))</f>
        <v>④ 관찰</v>
      </c>
      <c r="R83" s="9" t="n">
        <v>0.2743</v>
      </c>
      <c r="S83" s="2" t="n">
        <f aca="false">RANK(R83,$R$2:$R$230,0)</f>
        <v>101</v>
      </c>
    </row>
    <row r="84" customFormat="false" ht="15" hidden="false" customHeight="false" outlineLevel="0" collapsed="false">
      <c r="A84" s="2" t="s">
        <v>225</v>
      </c>
      <c r="B84" s="3" t="s">
        <v>113</v>
      </c>
      <c r="C84" s="3" t="s">
        <v>226</v>
      </c>
      <c r="D84" s="2" t="n">
        <v>2024</v>
      </c>
      <c r="E84" s="2" t="n">
        <v>2027</v>
      </c>
      <c r="F84" s="2" t="n">
        <v>9091</v>
      </c>
      <c r="G84" s="2" t="n">
        <v>144</v>
      </c>
      <c r="H84" s="8" t="n">
        <v>15.839841601584</v>
      </c>
      <c r="I84" s="2" t="n">
        <v>11</v>
      </c>
      <c r="J84" s="2" t="n">
        <v>39</v>
      </c>
      <c r="K84" s="2" t="n">
        <f aca="false">IF(H84&lt;=PERCENTILE($H$2:$H$230,설명!$B$26),1,0)</f>
        <v>0</v>
      </c>
      <c r="L84" s="2" t="n">
        <f aca="false">IF(I84=0,1,0)</f>
        <v>0</v>
      </c>
      <c r="M84" s="2" t="n">
        <f aca="false">L84</f>
        <v>0</v>
      </c>
      <c r="N84" s="9" t="n">
        <v>0.2841</v>
      </c>
      <c r="O84" s="2" t="n">
        <f aca="false">RANK(N84,$N$2:$N$230,0)</f>
        <v>83</v>
      </c>
      <c r="P84" s="2" t="n">
        <f aca="false">IF(O84&lt;=설명!$B$25,1,0)</f>
        <v>0</v>
      </c>
      <c r="Q84" s="2" t="str">
        <f aca="false">IF(AND(M84=1,P84=1),"① 최우선 지원",IF(P84=1,"② 예방 대상",IF(M84=1,"③ 구조적 공백","④ 관찰")))</f>
        <v>④ 관찰</v>
      </c>
      <c r="R84" s="9" t="n">
        <v>0.2353</v>
      </c>
      <c r="S84" s="2" t="n">
        <f aca="false">RANK(R84,$R$2:$R$230,0)</f>
        <v>115</v>
      </c>
    </row>
    <row r="85" customFormat="false" ht="15" hidden="false" customHeight="false" outlineLevel="0" collapsed="false">
      <c r="A85" s="2" t="s">
        <v>227</v>
      </c>
      <c r="B85" s="3" t="s">
        <v>120</v>
      </c>
      <c r="C85" s="3" t="s">
        <v>228</v>
      </c>
      <c r="D85" s="2" t="n">
        <v>2024</v>
      </c>
      <c r="E85" s="2" t="n">
        <v>2027</v>
      </c>
      <c r="F85" s="2" t="n">
        <v>11644</v>
      </c>
      <c r="G85" s="2" t="n">
        <v>233</v>
      </c>
      <c r="H85" s="8" t="n">
        <v>20.0103057368602</v>
      </c>
      <c r="I85" s="2" t="n">
        <v>17</v>
      </c>
      <c r="J85" s="2" t="n">
        <v>68</v>
      </c>
      <c r="K85" s="2" t="n">
        <f aca="false">IF(H85&lt;=PERCENTILE($H$2:$H$230,설명!$B$26),1,0)</f>
        <v>0</v>
      </c>
      <c r="L85" s="2" t="n">
        <f aca="false">IF(I85=0,1,0)</f>
        <v>0</v>
      </c>
      <c r="M85" s="2" t="n">
        <f aca="false">L85</f>
        <v>0</v>
      </c>
      <c r="N85" s="9" t="n">
        <v>0.2837</v>
      </c>
      <c r="O85" s="2" t="n">
        <f aca="false">RANK(N85,$N$2:$N$230,0)</f>
        <v>84</v>
      </c>
      <c r="P85" s="2" t="n">
        <f aca="false">IF(O85&lt;=설명!$B$25,1,0)</f>
        <v>0</v>
      </c>
      <c r="Q85" s="2" t="str">
        <f aca="false">IF(AND(M85=1,P85=1),"① 최우선 지원",IF(P85=1,"② 예방 대상",IF(M85=1,"③ 구조적 공백","④ 관찰")))</f>
        <v>④ 관찰</v>
      </c>
      <c r="R85" s="9" t="n">
        <v>0.2745</v>
      </c>
      <c r="S85" s="2" t="n">
        <f aca="false">RANK(R85,$R$2:$R$230,0)</f>
        <v>100</v>
      </c>
    </row>
    <row r="86" customFormat="false" ht="15" hidden="false" customHeight="false" outlineLevel="0" collapsed="false">
      <c r="A86" s="2" t="s">
        <v>229</v>
      </c>
      <c r="B86" s="3" t="s">
        <v>153</v>
      </c>
      <c r="C86" s="3" t="s">
        <v>230</v>
      </c>
      <c r="D86" s="2" t="n">
        <v>2024</v>
      </c>
      <c r="E86" s="2" t="n">
        <v>2027</v>
      </c>
      <c r="F86" s="2" t="n">
        <v>7123</v>
      </c>
      <c r="G86" s="2" t="n">
        <v>135</v>
      </c>
      <c r="H86" s="8" t="n">
        <v>18.9526884739576</v>
      </c>
      <c r="I86" s="2" t="n">
        <v>14</v>
      </c>
      <c r="J86" s="2" t="n">
        <v>30</v>
      </c>
      <c r="K86" s="2" t="n">
        <f aca="false">IF(H86&lt;=PERCENTILE($H$2:$H$230,설명!$B$26),1,0)</f>
        <v>0</v>
      </c>
      <c r="L86" s="2" t="n">
        <f aca="false">IF(I86=0,1,0)</f>
        <v>0</v>
      </c>
      <c r="M86" s="2" t="n">
        <f aca="false">L86</f>
        <v>0</v>
      </c>
      <c r="N86" s="9" t="n">
        <v>0.2794</v>
      </c>
      <c r="O86" s="2" t="n">
        <f aca="false">RANK(N86,$N$2:$N$230,0)</f>
        <v>85</v>
      </c>
      <c r="P86" s="2" t="n">
        <f aca="false">IF(O86&lt;=설명!$B$25,1,0)</f>
        <v>0</v>
      </c>
      <c r="Q86" s="2" t="str">
        <f aca="false">IF(AND(M86=1,P86=1),"① 최우선 지원",IF(P86=1,"② 예방 대상",IF(M86=1,"③ 구조적 공백","④ 관찰")))</f>
        <v>④ 관찰</v>
      </c>
      <c r="R86" s="9" t="n">
        <v>0.3218</v>
      </c>
      <c r="S86" s="2" t="n">
        <f aca="false">RANK(R86,$R$2:$R$230,0)</f>
        <v>74</v>
      </c>
    </row>
    <row r="87" customFormat="false" ht="15" hidden="false" customHeight="false" outlineLevel="0" collapsed="false">
      <c r="A87" s="2" t="s">
        <v>231</v>
      </c>
      <c r="B87" s="3" t="s">
        <v>76</v>
      </c>
      <c r="C87" s="3" t="s">
        <v>232</v>
      </c>
      <c r="D87" s="2" t="n">
        <v>2024</v>
      </c>
      <c r="E87" s="2" t="n">
        <v>2027</v>
      </c>
      <c r="F87" s="2" t="n">
        <v>546</v>
      </c>
      <c r="G87" s="2" t="n">
        <v>8</v>
      </c>
      <c r="H87" s="8" t="n">
        <v>14.6520146520147</v>
      </c>
      <c r="I87" s="2" t="n">
        <v>0</v>
      </c>
      <c r="J87" s="2" t="n">
        <v>2</v>
      </c>
      <c r="K87" s="2" t="n">
        <f aca="false">IF(H87&lt;=PERCENTILE($H$2:$H$230,설명!$B$26),1,0)</f>
        <v>1</v>
      </c>
      <c r="L87" s="2" t="n">
        <f aca="false">IF(I87=0,1,0)</f>
        <v>1</v>
      </c>
      <c r="M87" s="2" t="n">
        <f aca="false">L87</f>
        <v>1</v>
      </c>
      <c r="N87" s="9" t="n">
        <v>0.279</v>
      </c>
      <c r="O87" s="2" t="n">
        <f aca="false">RANK(N87,$N$2:$N$230,0)</f>
        <v>86</v>
      </c>
      <c r="P87" s="2" t="n">
        <f aca="false">IF(O87&lt;=설명!$B$25,1,0)</f>
        <v>0</v>
      </c>
      <c r="Q87" s="2" t="str">
        <f aca="false">IF(AND(M87=1,P87=1),"① 최우선 지원",IF(P87=1,"② 예방 대상",IF(M87=1,"③ 구조적 공백","④ 관찰")))</f>
        <v>③ 구조적 공백</v>
      </c>
      <c r="R87" s="9" t="n">
        <v>0.3108</v>
      </c>
      <c r="S87" s="2" t="n">
        <f aca="false">RANK(R87,$R$2:$R$230,0)</f>
        <v>81</v>
      </c>
    </row>
    <row r="88" customFormat="false" ht="15" hidden="false" customHeight="false" outlineLevel="0" collapsed="false">
      <c r="A88" s="2" t="s">
        <v>233</v>
      </c>
      <c r="B88" s="3" t="s">
        <v>76</v>
      </c>
      <c r="C88" s="3" t="s">
        <v>234</v>
      </c>
      <c r="D88" s="2" t="n">
        <v>2024</v>
      </c>
      <c r="E88" s="2" t="n">
        <v>2027</v>
      </c>
      <c r="F88" s="2" t="n">
        <v>2641</v>
      </c>
      <c r="G88" s="2" t="n">
        <v>43</v>
      </c>
      <c r="H88" s="8" t="n">
        <v>16.2817114729269</v>
      </c>
      <c r="I88" s="2" t="n">
        <v>2</v>
      </c>
      <c r="J88" s="2" t="n">
        <v>6</v>
      </c>
      <c r="K88" s="2" t="n">
        <f aca="false">IF(H88&lt;=PERCENTILE($H$2:$H$230,설명!$B$26),1,0)</f>
        <v>0</v>
      </c>
      <c r="L88" s="2" t="n">
        <f aca="false">IF(I88=0,1,0)</f>
        <v>0</v>
      </c>
      <c r="M88" s="2" t="n">
        <f aca="false">L88</f>
        <v>0</v>
      </c>
      <c r="N88" s="9" t="n">
        <v>0.2779</v>
      </c>
      <c r="O88" s="2" t="n">
        <f aca="false">RANK(N88,$N$2:$N$230,0)</f>
        <v>87</v>
      </c>
      <c r="P88" s="2" t="n">
        <f aca="false">IF(O88&lt;=설명!$B$25,1,0)</f>
        <v>0</v>
      </c>
      <c r="Q88" s="2" t="str">
        <f aca="false">IF(AND(M88=1,P88=1),"① 최우선 지원",IF(P88=1,"② 예방 대상",IF(M88=1,"③ 구조적 공백","④ 관찰")))</f>
        <v>④ 관찰</v>
      </c>
      <c r="R88" s="9" t="n">
        <v>0.3173</v>
      </c>
      <c r="S88" s="2" t="n">
        <f aca="false">RANK(R88,$R$2:$R$230,0)</f>
        <v>76</v>
      </c>
    </row>
    <row r="89" customFormat="false" ht="15" hidden="false" customHeight="false" outlineLevel="0" collapsed="false">
      <c r="A89" s="2" t="s">
        <v>235</v>
      </c>
      <c r="B89" s="3" t="s">
        <v>204</v>
      </c>
      <c r="C89" s="3" t="s">
        <v>236</v>
      </c>
      <c r="D89" s="2" t="n">
        <v>2024</v>
      </c>
      <c r="E89" s="2" t="n">
        <v>2027</v>
      </c>
      <c r="F89" s="2" t="n">
        <v>1644</v>
      </c>
      <c r="G89" s="2" t="n">
        <v>36</v>
      </c>
      <c r="H89" s="8" t="n">
        <v>21.8978102189781</v>
      </c>
      <c r="I89" s="2" t="n">
        <v>2</v>
      </c>
      <c r="J89" s="2" t="n">
        <v>2</v>
      </c>
      <c r="K89" s="2" t="n">
        <f aca="false">IF(H89&lt;=PERCENTILE($H$2:$H$230,설명!$B$26),1,0)</f>
        <v>0</v>
      </c>
      <c r="L89" s="2" t="n">
        <f aca="false">IF(I89=0,1,0)</f>
        <v>0</v>
      </c>
      <c r="M89" s="2" t="n">
        <f aca="false">L89</f>
        <v>0</v>
      </c>
      <c r="N89" s="9" t="n">
        <v>0.2744</v>
      </c>
      <c r="O89" s="2" t="n">
        <f aca="false">RANK(N89,$N$2:$N$230,0)</f>
        <v>88</v>
      </c>
      <c r="P89" s="2" t="n">
        <f aca="false">IF(O89&lt;=설명!$B$25,1,0)</f>
        <v>0</v>
      </c>
      <c r="Q89" s="2" t="str">
        <f aca="false">IF(AND(M89=1,P89=1),"① 최우선 지원",IF(P89=1,"② 예방 대상",IF(M89=1,"③ 구조적 공백","④ 관찰")))</f>
        <v>④ 관찰</v>
      </c>
      <c r="R89" s="9" t="n">
        <v>0.3699</v>
      </c>
      <c r="S89" s="2" t="n">
        <f aca="false">RANK(R89,$R$2:$R$230,0)</f>
        <v>52</v>
      </c>
    </row>
    <row r="90" customFormat="false" ht="15" hidden="false" customHeight="false" outlineLevel="0" collapsed="false">
      <c r="A90" s="2" t="s">
        <v>237</v>
      </c>
      <c r="B90" s="3" t="s">
        <v>90</v>
      </c>
      <c r="C90" s="3" t="s">
        <v>238</v>
      </c>
      <c r="D90" s="2" t="n">
        <v>2024</v>
      </c>
      <c r="E90" s="2" t="n">
        <v>2027</v>
      </c>
      <c r="F90" s="2" t="n">
        <v>9741</v>
      </c>
      <c r="G90" s="2" t="n">
        <v>169</v>
      </c>
      <c r="H90" s="8" t="n">
        <v>17.3493481162098</v>
      </c>
      <c r="I90" s="2" t="n">
        <v>7</v>
      </c>
      <c r="J90" s="2" t="n">
        <v>32</v>
      </c>
      <c r="K90" s="2" t="n">
        <f aca="false">IF(H90&lt;=PERCENTILE($H$2:$H$230,설명!$B$26),1,0)</f>
        <v>0</v>
      </c>
      <c r="L90" s="2" t="n">
        <f aca="false">IF(I90=0,1,0)</f>
        <v>0</v>
      </c>
      <c r="M90" s="2" t="n">
        <f aca="false">L90</f>
        <v>0</v>
      </c>
      <c r="N90" s="9" t="n">
        <v>0.2728</v>
      </c>
      <c r="O90" s="2" t="n">
        <f aca="false">RANK(N90,$N$2:$N$230,0)</f>
        <v>89</v>
      </c>
      <c r="P90" s="2" t="n">
        <f aca="false">IF(O90&lt;=설명!$B$25,1,0)</f>
        <v>0</v>
      </c>
      <c r="Q90" s="2" t="str">
        <f aca="false">IF(AND(M90=1,P90=1),"① 최우선 지원",IF(P90=1,"② 예방 대상",IF(M90=1,"③ 구조적 공백","④ 관찰")))</f>
        <v>④ 관찰</v>
      </c>
      <c r="R90" s="9" t="n">
        <v>0.2387</v>
      </c>
      <c r="S90" s="2" t="n">
        <f aca="false">RANK(R90,$R$2:$R$230,0)</f>
        <v>113</v>
      </c>
    </row>
    <row r="91" customFormat="false" ht="15" hidden="false" customHeight="false" outlineLevel="0" collapsed="false">
      <c r="A91" s="2" t="s">
        <v>239</v>
      </c>
      <c r="B91" s="3" t="s">
        <v>66</v>
      </c>
      <c r="C91" s="3" t="s">
        <v>240</v>
      </c>
      <c r="D91" s="2" t="n">
        <v>2024</v>
      </c>
      <c r="E91" s="2" t="n">
        <v>2027</v>
      </c>
      <c r="F91" s="2" t="n">
        <v>7252</v>
      </c>
      <c r="G91" s="2" t="n">
        <v>131</v>
      </c>
      <c r="H91" s="8" t="n">
        <v>18.0639823496966</v>
      </c>
      <c r="I91" s="2" t="n">
        <v>7</v>
      </c>
      <c r="J91" s="2" t="n">
        <v>18</v>
      </c>
      <c r="K91" s="2" t="n">
        <f aca="false">IF(H91&lt;=PERCENTILE($H$2:$H$230,설명!$B$26),1,0)</f>
        <v>0</v>
      </c>
      <c r="L91" s="2" t="n">
        <f aca="false">IF(I91=0,1,0)</f>
        <v>0</v>
      </c>
      <c r="M91" s="2" t="n">
        <f aca="false">L91</f>
        <v>0</v>
      </c>
      <c r="N91" s="9" t="n">
        <v>0.2716</v>
      </c>
      <c r="O91" s="2" t="n">
        <f aca="false">RANK(N91,$N$2:$N$230,0)</f>
        <v>90</v>
      </c>
      <c r="P91" s="2" t="n">
        <f aca="false">IF(O91&lt;=설명!$B$25,1,0)</f>
        <v>0</v>
      </c>
      <c r="Q91" s="2" t="str">
        <f aca="false">IF(AND(M91=1,P91=1),"① 최우선 지원",IF(P91=1,"② 예방 대상",IF(M91=1,"③ 구조적 공백","④ 관찰")))</f>
        <v>④ 관찰</v>
      </c>
      <c r="R91" s="9" t="n">
        <v>0.3237</v>
      </c>
      <c r="S91" s="2" t="n">
        <f aca="false">RANK(R91,$R$2:$R$230,0)</f>
        <v>72</v>
      </c>
    </row>
    <row r="92" customFormat="false" ht="15" hidden="false" customHeight="false" outlineLevel="0" collapsed="false">
      <c r="A92" s="2" t="s">
        <v>241</v>
      </c>
      <c r="B92" s="3" t="s">
        <v>79</v>
      </c>
      <c r="C92" s="3" t="s">
        <v>242</v>
      </c>
      <c r="D92" s="2" t="n">
        <v>2024</v>
      </c>
      <c r="E92" s="2" t="n">
        <v>2027</v>
      </c>
      <c r="F92" s="2" t="n">
        <v>10135</v>
      </c>
      <c r="G92" s="2" t="n">
        <v>151</v>
      </c>
      <c r="H92" s="8" t="n">
        <v>14.8988653182042</v>
      </c>
      <c r="I92" s="2" t="n">
        <v>23</v>
      </c>
      <c r="J92" s="2" t="n">
        <v>75</v>
      </c>
      <c r="K92" s="2" t="n">
        <f aca="false">IF(H92&lt;=PERCENTILE($H$2:$H$230,설명!$B$26),1,0)</f>
        <v>1</v>
      </c>
      <c r="L92" s="2" t="n">
        <f aca="false">IF(I92=0,1,0)</f>
        <v>0</v>
      </c>
      <c r="M92" s="2" t="n">
        <f aca="false">L92</f>
        <v>0</v>
      </c>
      <c r="N92" s="9" t="n">
        <v>0.2689</v>
      </c>
      <c r="O92" s="2" t="n">
        <f aca="false">RANK(N92,$N$2:$N$230,0)</f>
        <v>91</v>
      </c>
      <c r="P92" s="2" t="n">
        <f aca="false">IF(O92&lt;=설명!$B$25,1,0)</f>
        <v>0</v>
      </c>
      <c r="Q92" s="2" t="str">
        <f aca="false">IF(AND(M92=1,P92=1),"① 최우선 지원",IF(P92=1,"② 예방 대상",IF(M92=1,"③ 구조적 공백","④ 관찰")))</f>
        <v>④ 관찰</v>
      </c>
      <c r="R92" s="9" t="n">
        <v>0.2406</v>
      </c>
      <c r="S92" s="2" t="n">
        <f aca="false">RANK(R92,$R$2:$R$230,0)</f>
        <v>111</v>
      </c>
    </row>
    <row r="93" customFormat="false" ht="15" hidden="false" customHeight="false" outlineLevel="0" collapsed="false">
      <c r="A93" s="2" t="s">
        <v>243</v>
      </c>
      <c r="B93" s="3" t="s">
        <v>153</v>
      </c>
      <c r="C93" s="3" t="s">
        <v>244</v>
      </c>
      <c r="D93" s="2" t="n">
        <v>2024</v>
      </c>
      <c r="E93" s="2" t="n">
        <v>2027</v>
      </c>
      <c r="F93" s="2" t="n">
        <v>1946</v>
      </c>
      <c r="G93" s="2" t="n">
        <v>32</v>
      </c>
      <c r="H93" s="8" t="n">
        <v>16.4439876670093</v>
      </c>
      <c r="I93" s="2" t="n">
        <v>3</v>
      </c>
      <c r="J93" s="2" t="n">
        <v>5</v>
      </c>
      <c r="K93" s="2" t="n">
        <f aca="false">IF(H93&lt;=PERCENTILE($H$2:$H$230,설명!$B$26),1,0)</f>
        <v>0</v>
      </c>
      <c r="L93" s="2" t="n">
        <f aca="false">IF(I93=0,1,0)</f>
        <v>0</v>
      </c>
      <c r="M93" s="2" t="n">
        <f aca="false">L93</f>
        <v>0</v>
      </c>
      <c r="N93" s="9" t="n">
        <v>0.2676</v>
      </c>
      <c r="O93" s="2" t="n">
        <f aca="false">RANK(N93,$N$2:$N$230,0)</f>
        <v>92</v>
      </c>
      <c r="P93" s="2" t="n">
        <f aca="false">IF(O93&lt;=설명!$B$25,1,0)</f>
        <v>0</v>
      </c>
      <c r="Q93" s="2" t="str">
        <f aca="false">IF(AND(M93=1,P93=1),"① 최우선 지원",IF(P93=1,"② 예방 대상",IF(M93=1,"③ 구조적 공백","④ 관찰")))</f>
        <v>④ 관찰</v>
      </c>
      <c r="R93" s="9" t="n">
        <v>0.3346</v>
      </c>
      <c r="S93" s="2" t="n">
        <f aca="false">RANK(R93,$R$2:$R$230,0)</f>
        <v>68</v>
      </c>
    </row>
    <row r="94" customFormat="false" ht="15" hidden="false" customHeight="false" outlineLevel="0" collapsed="false">
      <c r="A94" s="2" t="s">
        <v>245</v>
      </c>
      <c r="B94" s="3" t="s">
        <v>66</v>
      </c>
      <c r="C94" s="3" t="s">
        <v>246</v>
      </c>
      <c r="D94" s="2" t="n">
        <v>2024</v>
      </c>
      <c r="E94" s="2" t="n">
        <v>2027</v>
      </c>
      <c r="F94" s="2" t="n">
        <v>24344</v>
      </c>
      <c r="G94" s="2" t="n">
        <v>465</v>
      </c>
      <c r="H94" s="8" t="n">
        <v>19.1012159053566</v>
      </c>
      <c r="I94" s="2" t="n">
        <v>40</v>
      </c>
      <c r="J94" s="2" t="n">
        <v>75</v>
      </c>
      <c r="K94" s="2" t="n">
        <f aca="false">IF(H94&lt;=PERCENTILE($H$2:$H$230,설명!$B$26),1,0)</f>
        <v>0</v>
      </c>
      <c r="L94" s="2" t="n">
        <f aca="false">IF(I94=0,1,0)</f>
        <v>0</v>
      </c>
      <c r="M94" s="2" t="n">
        <f aca="false">L94</f>
        <v>0</v>
      </c>
      <c r="N94" s="9" t="n">
        <v>0.2674</v>
      </c>
      <c r="O94" s="2" t="n">
        <f aca="false">RANK(N94,$N$2:$N$230,0)</f>
        <v>93</v>
      </c>
      <c r="P94" s="2" t="n">
        <f aca="false">IF(O94&lt;=설명!$B$25,1,0)</f>
        <v>0</v>
      </c>
      <c r="Q94" s="2" t="str">
        <f aca="false">IF(AND(M94=1,P94=1),"① 최우선 지원",IF(P94=1,"② 예방 대상",IF(M94=1,"③ 구조적 공백","④ 관찰")))</f>
        <v>④ 관찰</v>
      </c>
      <c r="R94" s="9" t="n">
        <v>0.3643</v>
      </c>
      <c r="S94" s="2" t="n">
        <f aca="false">RANK(R94,$R$2:$R$230,0)</f>
        <v>55</v>
      </c>
    </row>
    <row r="95" customFormat="false" ht="15" hidden="false" customHeight="false" outlineLevel="0" collapsed="false">
      <c r="A95" s="2" t="s">
        <v>247</v>
      </c>
      <c r="B95" s="3" t="s">
        <v>66</v>
      </c>
      <c r="C95" s="3" t="s">
        <v>248</v>
      </c>
      <c r="D95" s="2" t="n">
        <v>2024</v>
      </c>
      <c r="E95" s="2" t="n">
        <v>2027</v>
      </c>
      <c r="F95" s="2" t="n">
        <v>16611</v>
      </c>
      <c r="G95" s="2" t="n">
        <v>331</v>
      </c>
      <c r="H95" s="8" t="n">
        <v>19.9265546926735</v>
      </c>
      <c r="I95" s="2" t="n">
        <v>26</v>
      </c>
      <c r="J95" s="2" t="n">
        <v>78</v>
      </c>
      <c r="K95" s="2" t="n">
        <f aca="false">IF(H95&lt;=PERCENTILE($H$2:$H$230,설명!$B$26),1,0)</f>
        <v>0</v>
      </c>
      <c r="L95" s="2" t="n">
        <f aca="false">IF(I95=0,1,0)</f>
        <v>0</v>
      </c>
      <c r="M95" s="2" t="n">
        <f aca="false">L95</f>
        <v>0</v>
      </c>
      <c r="N95" s="9" t="n">
        <v>0.2659</v>
      </c>
      <c r="O95" s="2" t="n">
        <f aca="false">RANK(N95,$N$2:$N$230,0)</f>
        <v>94</v>
      </c>
      <c r="P95" s="2" t="n">
        <f aca="false">IF(O95&lt;=설명!$B$25,1,0)</f>
        <v>0</v>
      </c>
      <c r="Q95" s="2" t="str">
        <f aca="false">IF(AND(M95=1,P95=1),"① 최우선 지원",IF(P95=1,"② 예방 대상",IF(M95=1,"③ 구조적 공백","④ 관찰")))</f>
        <v>④ 관찰</v>
      </c>
      <c r="R95" s="9" t="n">
        <v>0.3355</v>
      </c>
      <c r="S95" s="2" t="n">
        <f aca="false">RANK(R95,$R$2:$R$230,0)</f>
        <v>66</v>
      </c>
    </row>
    <row r="96" customFormat="false" ht="15" hidden="false" customHeight="false" outlineLevel="0" collapsed="false">
      <c r="A96" s="2" t="s">
        <v>249</v>
      </c>
      <c r="B96" s="3" t="s">
        <v>204</v>
      </c>
      <c r="C96" s="3" t="s">
        <v>250</v>
      </c>
      <c r="D96" s="2" t="n">
        <v>2024</v>
      </c>
      <c r="E96" s="2" t="n">
        <v>2027</v>
      </c>
      <c r="F96" s="2" t="n">
        <v>1544</v>
      </c>
      <c r="G96" s="2" t="n">
        <v>37</v>
      </c>
      <c r="H96" s="8" t="n">
        <v>23.9637305699482</v>
      </c>
      <c r="I96" s="2" t="n">
        <v>1</v>
      </c>
      <c r="J96" s="2" t="n">
        <v>2</v>
      </c>
      <c r="K96" s="2" t="n">
        <f aca="false">IF(H96&lt;=PERCENTILE($H$2:$H$230,설명!$B$26),1,0)</f>
        <v>0</v>
      </c>
      <c r="L96" s="2" t="n">
        <f aca="false">IF(I96=0,1,0)</f>
        <v>0</v>
      </c>
      <c r="M96" s="2" t="n">
        <f aca="false">L96</f>
        <v>0</v>
      </c>
      <c r="N96" s="9" t="n">
        <v>0.2658</v>
      </c>
      <c r="O96" s="2" t="n">
        <f aca="false">RANK(N96,$N$2:$N$230,0)</f>
        <v>95</v>
      </c>
      <c r="P96" s="2" t="n">
        <f aca="false">IF(O96&lt;=설명!$B$25,1,0)</f>
        <v>0</v>
      </c>
      <c r="Q96" s="2" t="str">
        <f aca="false">IF(AND(M96=1,P96=1),"① 최우선 지원",IF(P96=1,"② 예방 대상",IF(M96=1,"③ 구조적 공백","④ 관찰")))</f>
        <v>④ 관찰</v>
      </c>
      <c r="R96" s="9" t="n">
        <v>0.3155</v>
      </c>
      <c r="S96" s="2" t="n">
        <f aca="false">RANK(R96,$R$2:$R$230,0)</f>
        <v>79</v>
      </c>
    </row>
    <row r="97" customFormat="false" ht="15" hidden="false" customHeight="false" outlineLevel="0" collapsed="false">
      <c r="A97" s="2" t="s">
        <v>251</v>
      </c>
      <c r="B97" s="3" t="s">
        <v>153</v>
      </c>
      <c r="C97" s="3" t="s">
        <v>252</v>
      </c>
      <c r="D97" s="2" t="n">
        <v>2024</v>
      </c>
      <c r="E97" s="2" t="n">
        <v>2027</v>
      </c>
      <c r="F97" s="2" t="n">
        <v>6525</v>
      </c>
      <c r="G97" s="2" t="n">
        <v>146</v>
      </c>
      <c r="H97" s="8" t="n">
        <v>22.3754789272031</v>
      </c>
      <c r="I97" s="2" t="n">
        <v>9</v>
      </c>
      <c r="J97" s="2" t="n">
        <v>30</v>
      </c>
      <c r="K97" s="2" t="n">
        <f aca="false">IF(H97&lt;=PERCENTILE($H$2:$H$230,설명!$B$26),1,0)</f>
        <v>0</v>
      </c>
      <c r="L97" s="2" t="n">
        <f aca="false">IF(I97=0,1,0)</f>
        <v>0</v>
      </c>
      <c r="M97" s="2" t="n">
        <f aca="false">L97</f>
        <v>0</v>
      </c>
      <c r="N97" s="9" t="n">
        <v>0.2602</v>
      </c>
      <c r="O97" s="2" t="n">
        <f aca="false">RANK(N97,$N$2:$N$230,0)</f>
        <v>96</v>
      </c>
      <c r="P97" s="2" t="n">
        <f aca="false">IF(O97&lt;=설명!$B$25,1,0)</f>
        <v>0</v>
      </c>
      <c r="Q97" s="2" t="str">
        <f aca="false">IF(AND(M97=1,P97=1),"① 최우선 지원",IF(P97=1,"② 예방 대상",IF(M97=1,"③ 구조적 공백","④ 관찰")))</f>
        <v>④ 관찰</v>
      </c>
      <c r="R97" s="9" t="n">
        <v>0.3149</v>
      </c>
      <c r="S97" s="2" t="n">
        <f aca="false">RANK(R97,$R$2:$R$230,0)</f>
        <v>80</v>
      </c>
    </row>
    <row r="98" customFormat="false" ht="15" hidden="false" customHeight="false" outlineLevel="0" collapsed="false">
      <c r="A98" s="2" t="s">
        <v>253</v>
      </c>
      <c r="B98" s="3" t="s">
        <v>120</v>
      </c>
      <c r="C98" s="3" t="s">
        <v>254</v>
      </c>
      <c r="D98" s="2" t="n">
        <v>2024</v>
      </c>
      <c r="E98" s="2" t="n">
        <v>2027</v>
      </c>
      <c r="F98" s="2" t="n">
        <v>7233</v>
      </c>
      <c r="G98" s="2" t="n">
        <v>126</v>
      </c>
      <c r="H98" s="8" t="n">
        <v>17.4201576109498</v>
      </c>
      <c r="I98" s="2" t="n">
        <v>17</v>
      </c>
      <c r="J98" s="2" t="n">
        <v>30</v>
      </c>
      <c r="K98" s="2" t="n">
        <f aca="false">IF(H98&lt;=PERCENTILE($H$2:$H$230,설명!$B$26),1,0)</f>
        <v>0</v>
      </c>
      <c r="L98" s="2" t="n">
        <f aca="false">IF(I98=0,1,0)</f>
        <v>0</v>
      </c>
      <c r="M98" s="2" t="n">
        <f aca="false">L98</f>
        <v>0</v>
      </c>
      <c r="N98" s="9" t="n">
        <v>0.257</v>
      </c>
      <c r="O98" s="2" t="n">
        <f aca="false">RANK(N98,$N$2:$N$230,0)</f>
        <v>97</v>
      </c>
      <c r="P98" s="2" t="n">
        <f aca="false">IF(O98&lt;=설명!$B$25,1,0)</f>
        <v>0</v>
      </c>
      <c r="Q98" s="2" t="str">
        <f aca="false">IF(AND(M98=1,P98=1),"① 최우선 지원",IF(P98=1,"② 예방 대상",IF(M98=1,"③ 구조적 공백","④ 관찰")))</f>
        <v>④ 관찰</v>
      </c>
      <c r="R98" s="9" t="n">
        <v>0.2719</v>
      </c>
      <c r="S98" s="2" t="n">
        <f aca="false">RANK(R98,$R$2:$R$230,0)</f>
        <v>105</v>
      </c>
    </row>
    <row r="99" customFormat="false" ht="15" hidden="false" customHeight="false" outlineLevel="0" collapsed="false">
      <c r="A99" s="2" t="s">
        <v>255</v>
      </c>
      <c r="B99" s="3" t="s">
        <v>54</v>
      </c>
      <c r="C99" s="3" t="s">
        <v>256</v>
      </c>
      <c r="D99" s="2" t="n">
        <v>2024</v>
      </c>
      <c r="E99" s="2" t="n">
        <v>2027</v>
      </c>
      <c r="F99" s="2" t="n">
        <v>543</v>
      </c>
      <c r="G99" s="2" t="n">
        <v>9</v>
      </c>
      <c r="H99" s="8" t="n">
        <v>16.5745856353591</v>
      </c>
      <c r="I99" s="2" t="n">
        <v>0</v>
      </c>
      <c r="J99" s="2" t="n">
        <v>2</v>
      </c>
      <c r="K99" s="2" t="n">
        <f aca="false">IF(H99&lt;=PERCENTILE($H$2:$H$230,설명!$B$26),1,0)</f>
        <v>0</v>
      </c>
      <c r="L99" s="2" t="n">
        <f aca="false">IF(I99=0,1,0)</f>
        <v>1</v>
      </c>
      <c r="M99" s="2" t="n">
        <f aca="false">L99</f>
        <v>1</v>
      </c>
      <c r="N99" s="9" t="n">
        <v>0.256</v>
      </c>
      <c r="O99" s="2" t="n">
        <f aca="false">RANK(N99,$N$2:$N$230,0)</f>
        <v>98</v>
      </c>
      <c r="P99" s="2" t="n">
        <f aca="false">IF(O99&lt;=설명!$B$25,1,0)</f>
        <v>0</v>
      </c>
      <c r="Q99" s="2" t="str">
        <f aca="false">IF(AND(M99=1,P99=1),"① 최우선 지원",IF(P99=1,"② 예방 대상",IF(M99=1,"③ 구조적 공백","④ 관찰")))</f>
        <v>③ 구조적 공백</v>
      </c>
      <c r="R99" s="9" t="n">
        <v>0.2361</v>
      </c>
      <c r="S99" s="2" t="n">
        <f aca="false">RANK(R99,$R$2:$R$230,0)</f>
        <v>114</v>
      </c>
    </row>
    <row r="100" customFormat="false" ht="15" hidden="false" customHeight="false" outlineLevel="0" collapsed="false">
      <c r="A100" s="2" t="s">
        <v>257</v>
      </c>
      <c r="B100" s="3" t="s">
        <v>90</v>
      </c>
      <c r="C100" s="3" t="s">
        <v>258</v>
      </c>
      <c r="D100" s="2" t="n">
        <v>2024</v>
      </c>
      <c r="E100" s="2" t="n">
        <v>2027</v>
      </c>
      <c r="F100" s="2" t="n">
        <v>5997</v>
      </c>
      <c r="G100" s="2" t="n">
        <v>100</v>
      </c>
      <c r="H100" s="8" t="n">
        <v>16.675004168751</v>
      </c>
      <c r="I100" s="2" t="n">
        <v>4</v>
      </c>
      <c r="J100" s="2" t="n">
        <v>12</v>
      </c>
      <c r="K100" s="2" t="n">
        <f aca="false">IF(H100&lt;=PERCENTILE($H$2:$H$230,설명!$B$26),1,0)</f>
        <v>0</v>
      </c>
      <c r="L100" s="2" t="n">
        <f aca="false">IF(I100=0,1,0)</f>
        <v>0</v>
      </c>
      <c r="M100" s="2" t="n">
        <f aca="false">L100</f>
        <v>0</v>
      </c>
      <c r="N100" s="9" t="n">
        <v>0.2558</v>
      </c>
      <c r="O100" s="2" t="n">
        <f aca="false">RANK(N100,$N$2:$N$230,0)</f>
        <v>99</v>
      </c>
      <c r="P100" s="2" t="n">
        <f aca="false">IF(O100&lt;=설명!$B$25,1,0)</f>
        <v>0</v>
      </c>
      <c r="Q100" s="2" t="str">
        <f aca="false">IF(AND(M100=1,P100=1),"① 최우선 지원",IF(P100=1,"② 예방 대상",IF(M100=1,"③ 구조적 공백","④ 관찰")))</f>
        <v>④ 관찰</v>
      </c>
      <c r="R100" s="9" t="n">
        <v>0.2271</v>
      </c>
      <c r="S100" s="2" t="n">
        <f aca="false">RANK(R100,$R$2:$R$230,0)</f>
        <v>125</v>
      </c>
    </row>
    <row r="101" customFormat="false" ht="15" hidden="false" customHeight="false" outlineLevel="0" collapsed="false">
      <c r="A101" s="2" t="s">
        <v>259</v>
      </c>
      <c r="B101" s="3" t="s">
        <v>204</v>
      </c>
      <c r="C101" s="3" t="s">
        <v>260</v>
      </c>
      <c r="D101" s="2" t="n">
        <v>2024</v>
      </c>
      <c r="E101" s="2" t="n">
        <v>2027</v>
      </c>
      <c r="F101" s="2" t="n">
        <v>747</v>
      </c>
      <c r="G101" s="2" t="n">
        <v>16</v>
      </c>
      <c r="H101" s="8" t="n">
        <v>21.4190093708166</v>
      </c>
      <c r="I101" s="2" t="n">
        <v>0</v>
      </c>
      <c r="J101" s="2" t="n">
        <v>5</v>
      </c>
      <c r="K101" s="2" t="n">
        <f aca="false">IF(H101&lt;=PERCENTILE($H$2:$H$230,설명!$B$26),1,0)</f>
        <v>0</v>
      </c>
      <c r="L101" s="2" t="n">
        <f aca="false">IF(I101=0,1,0)</f>
        <v>1</v>
      </c>
      <c r="M101" s="2" t="n">
        <f aca="false">L101</f>
        <v>1</v>
      </c>
      <c r="N101" s="9" t="n">
        <v>0.2552</v>
      </c>
      <c r="O101" s="2" t="n">
        <f aca="false">RANK(N101,$N$2:$N$230,0)</f>
        <v>100</v>
      </c>
      <c r="P101" s="2" t="n">
        <f aca="false">IF(O101&lt;=설명!$B$25,1,0)</f>
        <v>0</v>
      </c>
      <c r="Q101" s="2" t="str">
        <f aca="false">IF(AND(M101=1,P101=1),"① 최우선 지원",IF(P101=1,"② 예방 대상",IF(M101=1,"③ 구조적 공백","④ 관찰")))</f>
        <v>③ 구조적 공백</v>
      </c>
      <c r="R101" s="9" t="n">
        <v>0.2912</v>
      </c>
      <c r="S101" s="2" t="n">
        <f aca="false">RANK(R101,$R$2:$R$230,0)</f>
        <v>91</v>
      </c>
    </row>
    <row r="102" customFormat="false" ht="15" hidden="false" customHeight="false" outlineLevel="0" collapsed="false">
      <c r="A102" s="2" t="s">
        <v>261</v>
      </c>
      <c r="B102" s="3" t="s">
        <v>66</v>
      </c>
      <c r="C102" s="3" t="s">
        <v>262</v>
      </c>
      <c r="D102" s="2" t="n">
        <v>2024</v>
      </c>
      <c r="E102" s="2" t="n">
        <v>2027</v>
      </c>
      <c r="F102" s="2" t="n">
        <v>14813</v>
      </c>
      <c r="G102" s="2" t="n">
        <v>293</v>
      </c>
      <c r="H102" s="8" t="n">
        <v>19.7799230405725</v>
      </c>
      <c r="I102" s="2" t="n">
        <v>19</v>
      </c>
      <c r="J102" s="2" t="n">
        <v>56</v>
      </c>
      <c r="K102" s="2" t="n">
        <f aca="false">IF(H102&lt;=PERCENTILE($H$2:$H$230,설명!$B$26),1,0)</f>
        <v>0</v>
      </c>
      <c r="L102" s="2" t="n">
        <f aca="false">IF(I102=0,1,0)</f>
        <v>0</v>
      </c>
      <c r="M102" s="2" t="n">
        <f aca="false">L102</f>
        <v>0</v>
      </c>
      <c r="N102" s="9" t="n">
        <v>0.255</v>
      </c>
      <c r="O102" s="2" t="n">
        <f aca="false">RANK(N102,$N$2:$N$230,0)</f>
        <v>101</v>
      </c>
      <c r="P102" s="2" t="n">
        <f aca="false">IF(O102&lt;=설명!$B$25,1,0)</f>
        <v>0</v>
      </c>
      <c r="Q102" s="2" t="str">
        <f aca="false">IF(AND(M102=1,P102=1),"① 최우선 지원",IF(P102=1,"② 예방 대상",IF(M102=1,"③ 구조적 공백","④ 관찰")))</f>
        <v>④ 관찰</v>
      </c>
      <c r="R102" s="9" t="n">
        <v>0.2965</v>
      </c>
      <c r="S102" s="2" t="n">
        <f aca="false">RANK(R102,$R$2:$R$230,0)</f>
        <v>89</v>
      </c>
    </row>
    <row r="103" customFormat="false" ht="15" hidden="false" customHeight="false" outlineLevel="0" collapsed="false">
      <c r="A103" s="2" t="s">
        <v>263</v>
      </c>
      <c r="B103" s="3" t="s">
        <v>66</v>
      </c>
      <c r="C103" s="3" t="s">
        <v>264</v>
      </c>
      <c r="D103" s="2" t="n">
        <v>2024</v>
      </c>
      <c r="E103" s="2" t="n">
        <v>2027</v>
      </c>
      <c r="F103" s="2" t="n">
        <v>21129</v>
      </c>
      <c r="G103" s="2" t="n">
        <v>411</v>
      </c>
      <c r="H103" s="8" t="n">
        <v>19.451938094562</v>
      </c>
      <c r="I103" s="2" t="n">
        <v>34</v>
      </c>
      <c r="J103" s="2" t="n">
        <v>59</v>
      </c>
      <c r="K103" s="2" t="n">
        <f aca="false">IF(H103&lt;=PERCENTILE($H$2:$H$230,설명!$B$26),1,0)</f>
        <v>0</v>
      </c>
      <c r="L103" s="2" t="n">
        <f aca="false">IF(I103=0,1,0)</f>
        <v>0</v>
      </c>
      <c r="M103" s="2" t="n">
        <f aca="false">L103</f>
        <v>0</v>
      </c>
      <c r="N103" s="9" t="n">
        <v>0.2533</v>
      </c>
      <c r="O103" s="2" t="n">
        <f aca="false">RANK(N103,$N$2:$N$230,0)</f>
        <v>102</v>
      </c>
      <c r="P103" s="2" t="n">
        <f aca="false">IF(O103&lt;=설명!$B$25,1,0)</f>
        <v>0</v>
      </c>
      <c r="Q103" s="2" t="str">
        <f aca="false">IF(AND(M103=1,P103=1),"① 최우선 지원",IF(P103=1,"② 예방 대상",IF(M103=1,"③ 구조적 공백","④ 관찰")))</f>
        <v>④ 관찰</v>
      </c>
      <c r="R103" s="9" t="n">
        <v>0.3318</v>
      </c>
      <c r="S103" s="2" t="n">
        <f aca="false">RANK(R103,$R$2:$R$230,0)</f>
        <v>70</v>
      </c>
    </row>
    <row r="104" customFormat="false" ht="15" hidden="false" customHeight="false" outlineLevel="0" collapsed="false">
      <c r="A104" s="2" t="s">
        <v>265</v>
      </c>
      <c r="B104" s="3" t="s">
        <v>199</v>
      </c>
      <c r="C104" s="3" t="s">
        <v>266</v>
      </c>
      <c r="D104" s="2" t="n">
        <v>2024</v>
      </c>
      <c r="E104" s="2" t="n">
        <v>2027</v>
      </c>
      <c r="F104" s="2" t="n">
        <v>2030</v>
      </c>
      <c r="G104" s="2" t="n">
        <v>48</v>
      </c>
      <c r="H104" s="8" t="n">
        <v>23.6453201970443</v>
      </c>
      <c r="I104" s="2" t="n">
        <v>2</v>
      </c>
      <c r="J104" s="2" t="n">
        <v>5</v>
      </c>
      <c r="K104" s="2" t="n">
        <f aca="false">IF(H104&lt;=PERCENTILE($H$2:$H$230,설명!$B$26),1,0)</f>
        <v>0</v>
      </c>
      <c r="L104" s="2" t="n">
        <f aca="false">IF(I104=0,1,0)</f>
        <v>0</v>
      </c>
      <c r="M104" s="2" t="n">
        <f aca="false">L104</f>
        <v>0</v>
      </c>
      <c r="N104" s="9" t="n">
        <v>0.2427</v>
      </c>
      <c r="O104" s="2" t="n">
        <f aca="false">RANK(N104,$N$2:$N$230,0)</f>
        <v>103</v>
      </c>
      <c r="P104" s="2" t="n">
        <f aca="false">IF(O104&lt;=설명!$B$25,1,0)</f>
        <v>0</v>
      </c>
      <c r="Q104" s="2" t="str">
        <f aca="false">IF(AND(M104=1,P104=1),"① 최우선 지원",IF(P104=1,"② 예방 대상",IF(M104=1,"③ 구조적 공백","④ 관찰")))</f>
        <v>④ 관찰</v>
      </c>
      <c r="R104" s="9" t="n">
        <v>0.3506</v>
      </c>
      <c r="S104" s="2" t="n">
        <f aca="false">RANK(R104,$R$2:$R$230,0)</f>
        <v>57</v>
      </c>
    </row>
    <row r="105" customFormat="false" ht="15" hidden="false" customHeight="false" outlineLevel="0" collapsed="false">
      <c r="A105" s="2" t="s">
        <v>267</v>
      </c>
      <c r="B105" s="3" t="s">
        <v>153</v>
      </c>
      <c r="C105" s="3" t="s">
        <v>268</v>
      </c>
      <c r="D105" s="2" t="n">
        <v>2024</v>
      </c>
      <c r="E105" s="2" t="n">
        <v>2027</v>
      </c>
      <c r="F105" s="2" t="n">
        <v>3107</v>
      </c>
      <c r="G105" s="2" t="n">
        <v>59</v>
      </c>
      <c r="H105" s="8" t="n">
        <v>18.9893788220148</v>
      </c>
      <c r="I105" s="2" t="n">
        <v>5</v>
      </c>
      <c r="J105" s="2" t="n">
        <v>15</v>
      </c>
      <c r="K105" s="2" t="n">
        <f aca="false">IF(H105&lt;=PERCENTILE($H$2:$H$230,설명!$B$26),1,0)</f>
        <v>0</v>
      </c>
      <c r="L105" s="2" t="n">
        <f aca="false">IF(I105=0,1,0)</f>
        <v>0</v>
      </c>
      <c r="M105" s="2" t="n">
        <f aca="false">L105</f>
        <v>0</v>
      </c>
      <c r="N105" s="9" t="n">
        <v>0.2407</v>
      </c>
      <c r="O105" s="2" t="n">
        <f aca="false">RANK(N105,$N$2:$N$230,0)</f>
        <v>104</v>
      </c>
      <c r="P105" s="2" t="n">
        <f aca="false">IF(O105&lt;=설명!$B$25,1,0)</f>
        <v>0</v>
      </c>
      <c r="Q105" s="2" t="str">
        <f aca="false">IF(AND(M105=1,P105=1),"① 최우선 지원",IF(P105=1,"② 예방 대상",IF(M105=1,"③ 구조적 공백","④ 관찰")))</f>
        <v>④ 관찰</v>
      </c>
      <c r="R105" s="9" t="n">
        <v>0.277</v>
      </c>
      <c r="S105" s="2" t="n">
        <f aca="false">RANK(R105,$R$2:$R$230,0)</f>
        <v>99</v>
      </c>
    </row>
    <row r="106" customFormat="false" ht="15" hidden="false" customHeight="false" outlineLevel="0" collapsed="false">
      <c r="A106" s="2" t="s">
        <v>269</v>
      </c>
      <c r="B106" s="3" t="s">
        <v>79</v>
      </c>
      <c r="C106" s="3" t="s">
        <v>226</v>
      </c>
      <c r="D106" s="2" t="n">
        <v>2024</v>
      </c>
      <c r="E106" s="2" t="n">
        <v>2027</v>
      </c>
      <c r="F106" s="2" t="n">
        <v>6170</v>
      </c>
      <c r="G106" s="2" t="n">
        <v>109</v>
      </c>
      <c r="H106" s="8" t="n">
        <v>17.6661264181524</v>
      </c>
      <c r="I106" s="2" t="n">
        <v>10</v>
      </c>
      <c r="J106" s="2" t="n">
        <v>25</v>
      </c>
      <c r="K106" s="2" t="n">
        <f aca="false">IF(H106&lt;=PERCENTILE($H$2:$H$230,설명!$B$26),1,0)</f>
        <v>0</v>
      </c>
      <c r="L106" s="2" t="n">
        <f aca="false">IF(I106=0,1,0)</f>
        <v>0</v>
      </c>
      <c r="M106" s="2" t="n">
        <f aca="false">L106</f>
        <v>0</v>
      </c>
      <c r="N106" s="9" t="n">
        <v>0.2402</v>
      </c>
      <c r="O106" s="2" t="n">
        <f aca="false">RANK(N106,$N$2:$N$230,0)</f>
        <v>105</v>
      </c>
      <c r="P106" s="2" t="n">
        <f aca="false">IF(O106&lt;=설명!$B$25,1,0)</f>
        <v>0</v>
      </c>
      <c r="Q106" s="2" t="str">
        <f aca="false">IF(AND(M106=1,P106=1),"① 최우선 지원",IF(P106=1,"② 예방 대상",IF(M106=1,"③ 구조적 공백","④ 관찰")))</f>
        <v>④ 관찰</v>
      </c>
      <c r="R106" s="9" t="n">
        <v>0.2298</v>
      </c>
      <c r="S106" s="2" t="n">
        <f aca="false">RANK(R106,$R$2:$R$230,0)</f>
        <v>122</v>
      </c>
    </row>
    <row r="107" customFormat="false" ht="15" hidden="false" customHeight="false" outlineLevel="0" collapsed="false">
      <c r="A107" s="2" t="s">
        <v>270</v>
      </c>
      <c r="B107" s="3" t="s">
        <v>204</v>
      </c>
      <c r="C107" s="3" t="s">
        <v>96</v>
      </c>
      <c r="D107" s="2" t="n">
        <v>2024</v>
      </c>
      <c r="E107" s="2" t="n">
        <v>2027</v>
      </c>
      <c r="F107" s="2" t="n">
        <v>679</v>
      </c>
      <c r="G107" s="2" t="n">
        <v>8</v>
      </c>
      <c r="H107" s="8" t="n">
        <v>11.7820324005891</v>
      </c>
      <c r="I107" s="2" t="n">
        <v>0</v>
      </c>
      <c r="J107" s="2" t="n">
        <v>0</v>
      </c>
      <c r="K107" s="2" t="n">
        <f aca="false">IF(H107&lt;=PERCENTILE($H$2:$H$230,설명!$B$26),1,0)</f>
        <v>1</v>
      </c>
      <c r="L107" s="2" t="n">
        <f aca="false">IF(I107=0,1,0)</f>
        <v>1</v>
      </c>
      <c r="M107" s="2" t="n">
        <f aca="false">L107</f>
        <v>1</v>
      </c>
      <c r="N107" s="9" t="n">
        <v>0.2401</v>
      </c>
      <c r="O107" s="2" t="n">
        <f aca="false">RANK(N107,$N$2:$N$230,0)</f>
        <v>106</v>
      </c>
      <c r="P107" s="2" t="n">
        <f aca="false">IF(O107&lt;=설명!$B$25,1,0)</f>
        <v>0</v>
      </c>
      <c r="Q107" s="2" t="str">
        <f aca="false">IF(AND(M107=1,P107=1),"① 최우선 지원",IF(P107=1,"② 예방 대상",IF(M107=1,"③ 구조적 공백","④ 관찰")))</f>
        <v>③ 구조적 공백</v>
      </c>
      <c r="R107" s="9" t="n">
        <v>0.2739</v>
      </c>
      <c r="S107" s="2" t="n">
        <f aca="false">RANK(R107,$R$2:$R$230,0)</f>
        <v>103</v>
      </c>
    </row>
    <row r="108" customFormat="false" ht="15" hidden="false" customHeight="false" outlineLevel="0" collapsed="false">
      <c r="A108" s="2" t="s">
        <v>271</v>
      </c>
      <c r="B108" s="3" t="s">
        <v>76</v>
      </c>
      <c r="C108" s="3" t="s">
        <v>272</v>
      </c>
      <c r="D108" s="2" t="n">
        <v>2024</v>
      </c>
      <c r="E108" s="2" t="n">
        <v>2027</v>
      </c>
      <c r="F108" s="2" t="n">
        <v>421</v>
      </c>
      <c r="G108" s="2" t="n">
        <v>10</v>
      </c>
      <c r="H108" s="8" t="n">
        <v>23.7529691211401</v>
      </c>
      <c r="I108" s="2" t="n">
        <v>0</v>
      </c>
      <c r="J108" s="2" t="n">
        <v>1</v>
      </c>
      <c r="K108" s="2" t="n">
        <f aca="false">IF(H108&lt;=PERCENTILE($H$2:$H$230,설명!$B$26),1,0)</f>
        <v>0</v>
      </c>
      <c r="L108" s="2" t="n">
        <f aca="false">IF(I108=0,1,0)</f>
        <v>1</v>
      </c>
      <c r="M108" s="2" t="n">
        <f aca="false">L108</f>
        <v>1</v>
      </c>
      <c r="N108" s="9" t="n">
        <v>0.24</v>
      </c>
      <c r="O108" s="2" t="n">
        <f aca="false">RANK(N108,$N$2:$N$230,0)</f>
        <v>107</v>
      </c>
      <c r="P108" s="2" t="n">
        <f aca="false">IF(O108&lt;=설명!$B$25,1,0)</f>
        <v>0</v>
      </c>
      <c r="Q108" s="2" t="str">
        <f aca="false">IF(AND(M108=1,P108=1),"① 최우선 지원",IF(P108=1,"② 예방 대상",IF(M108=1,"③ 구조적 공백","④ 관찰")))</f>
        <v>③ 구조적 공백</v>
      </c>
      <c r="R108" s="9" t="n">
        <v>0.2711</v>
      </c>
      <c r="S108" s="2" t="n">
        <f aca="false">RANK(R108,$R$2:$R$230,0)</f>
        <v>106</v>
      </c>
    </row>
    <row r="109" customFormat="false" ht="15" hidden="false" customHeight="false" outlineLevel="0" collapsed="false">
      <c r="A109" s="2" t="s">
        <v>273</v>
      </c>
      <c r="B109" s="3" t="s">
        <v>135</v>
      </c>
      <c r="C109" s="3" t="s">
        <v>274</v>
      </c>
      <c r="D109" s="2" t="n">
        <v>2024</v>
      </c>
      <c r="E109" s="2" t="n">
        <v>2027</v>
      </c>
      <c r="F109" s="2" t="n">
        <v>11312</v>
      </c>
      <c r="G109" s="2" t="n">
        <v>173</v>
      </c>
      <c r="H109" s="8" t="n">
        <v>15.2934936350778</v>
      </c>
      <c r="I109" s="2" t="n">
        <v>15</v>
      </c>
      <c r="J109" s="2" t="n">
        <v>23</v>
      </c>
      <c r="K109" s="2" t="n">
        <f aca="false">IF(H109&lt;=PERCENTILE($H$2:$H$230,설명!$B$26),1,0)</f>
        <v>1</v>
      </c>
      <c r="L109" s="2" t="n">
        <f aca="false">IF(I109=0,1,0)</f>
        <v>0</v>
      </c>
      <c r="M109" s="2" t="n">
        <f aca="false">L109</f>
        <v>0</v>
      </c>
      <c r="N109" s="9" t="n">
        <v>0.2397</v>
      </c>
      <c r="O109" s="2" t="n">
        <f aca="false">RANK(N109,$N$2:$N$230,0)</f>
        <v>108</v>
      </c>
      <c r="P109" s="2" t="n">
        <f aca="false">IF(O109&lt;=설명!$B$25,1,0)</f>
        <v>0</v>
      </c>
      <c r="Q109" s="2" t="str">
        <f aca="false">IF(AND(M109=1,P109=1),"① 최우선 지원",IF(P109=1,"② 예방 대상",IF(M109=1,"③ 구조적 공백","④ 관찰")))</f>
        <v>④ 관찰</v>
      </c>
      <c r="R109" s="9" t="n">
        <v>0.235</v>
      </c>
      <c r="S109" s="2" t="n">
        <f aca="false">RANK(R109,$R$2:$R$230,0)</f>
        <v>116</v>
      </c>
    </row>
    <row r="110" customFormat="false" ht="15" hidden="false" customHeight="false" outlineLevel="0" collapsed="false">
      <c r="A110" s="2" t="s">
        <v>275</v>
      </c>
      <c r="B110" s="3" t="s">
        <v>76</v>
      </c>
      <c r="C110" s="3" t="s">
        <v>276</v>
      </c>
      <c r="D110" s="2" t="n">
        <v>2024</v>
      </c>
      <c r="E110" s="2" t="n">
        <v>2027</v>
      </c>
      <c r="F110" s="2" t="n">
        <v>1982</v>
      </c>
      <c r="G110" s="2" t="n">
        <v>34</v>
      </c>
      <c r="H110" s="8" t="n">
        <v>17.15438950555</v>
      </c>
      <c r="I110" s="2" t="n">
        <v>1</v>
      </c>
      <c r="J110" s="2" t="n">
        <v>2</v>
      </c>
      <c r="K110" s="2" t="n">
        <f aca="false">IF(H110&lt;=PERCENTILE($H$2:$H$230,설명!$B$26),1,0)</f>
        <v>0</v>
      </c>
      <c r="L110" s="2" t="n">
        <f aca="false">IF(I110=0,1,0)</f>
        <v>0</v>
      </c>
      <c r="M110" s="2" t="n">
        <f aca="false">L110</f>
        <v>0</v>
      </c>
      <c r="N110" s="9" t="n">
        <v>0.2396</v>
      </c>
      <c r="O110" s="2" t="n">
        <f aca="false">RANK(N110,$N$2:$N$230,0)</f>
        <v>109</v>
      </c>
      <c r="P110" s="2" t="n">
        <f aca="false">IF(O110&lt;=설명!$B$25,1,0)</f>
        <v>0</v>
      </c>
      <c r="Q110" s="2" t="str">
        <f aca="false">IF(AND(M110=1,P110=1),"① 최우선 지원",IF(P110=1,"② 예방 대상",IF(M110=1,"③ 구조적 공백","④ 관찰")))</f>
        <v>④ 관찰</v>
      </c>
      <c r="R110" s="9" t="n">
        <v>0.2856</v>
      </c>
      <c r="S110" s="2" t="n">
        <f aca="false">RANK(R110,$R$2:$R$230,0)</f>
        <v>97</v>
      </c>
    </row>
    <row r="111" customFormat="false" ht="15" hidden="false" customHeight="false" outlineLevel="0" collapsed="false">
      <c r="A111" s="2" t="s">
        <v>277</v>
      </c>
      <c r="B111" s="3" t="s">
        <v>79</v>
      </c>
      <c r="C111" s="3" t="s">
        <v>94</v>
      </c>
      <c r="D111" s="2" t="n">
        <v>2024</v>
      </c>
      <c r="E111" s="2" t="n">
        <v>2027</v>
      </c>
      <c r="F111" s="2" t="n">
        <v>2187</v>
      </c>
      <c r="G111" s="2" t="n">
        <v>31</v>
      </c>
      <c r="H111" s="8" t="n">
        <v>14.1746684956562</v>
      </c>
      <c r="I111" s="2" t="n">
        <v>3</v>
      </c>
      <c r="J111" s="2" t="n">
        <v>34</v>
      </c>
      <c r="K111" s="2" t="n">
        <f aca="false">IF(H111&lt;=PERCENTILE($H$2:$H$230,설명!$B$26),1,0)</f>
        <v>1</v>
      </c>
      <c r="L111" s="2" t="n">
        <f aca="false">IF(I111=0,1,0)</f>
        <v>0</v>
      </c>
      <c r="M111" s="2" t="n">
        <f aca="false">L111</f>
        <v>0</v>
      </c>
      <c r="N111" s="9" t="n">
        <v>0.2394</v>
      </c>
      <c r="O111" s="2" t="n">
        <f aca="false">RANK(N111,$N$2:$N$230,0)</f>
        <v>110</v>
      </c>
      <c r="P111" s="2" t="n">
        <f aca="false">IF(O111&lt;=설명!$B$25,1,0)</f>
        <v>0</v>
      </c>
      <c r="Q111" s="2" t="str">
        <f aca="false">IF(AND(M111=1,P111=1),"① 최우선 지원",IF(P111=1,"② 예방 대상",IF(M111=1,"③ 구조적 공백","④ 관찰")))</f>
        <v>④ 관찰</v>
      </c>
      <c r="R111" s="9" t="n">
        <v>0.2178</v>
      </c>
      <c r="S111" s="2" t="n">
        <f aca="false">RANK(R111,$R$2:$R$230,0)</f>
        <v>126</v>
      </c>
    </row>
    <row r="112" customFormat="false" ht="15" hidden="false" customHeight="false" outlineLevel="0" collapsed="false">
      <c r="A112" s="2" t="s">
        <v>278</v>
      </c>
      <c r="B112" s="3" t="s">
        <v>199</v>
      </c>
      <c r="C112" s="3" t="s">
        <v>279</v>
      </c>
      <c r="D112" s="2" t="n">
        <v>2024</v>
      </c>
      <c r="E112" s="2" t="n">
        <v>2027</v>
      </c>
      <c r="F112" s="2" t="n">
        <v>1239</v>
      </c>
      <c r="G112" s="2" t="n">
        <v>22</v>
      </c>
      <c r="H112" s="8" t="n">
        <v>17.7562550443906</v>
      </c>
      <c r="I112" s="2" t="n">
        <v>1</v>
      </c>
      <c r="J112" s="2" t="n">
        <v>1</v>
      </c>
      <c r="K112" s="2" t="n">
        <f aca="false">IF(H112&lt;=PERCENTILE($H$2:$H$230,설명!$B$26),1,0)</f>
        <v>0</v>
      </c>
      <c r="L112" s="2" t="n">
        <f aca="false">IF(I112=0,1,0)</f>
        <v>0</v>
      </c>
      <c r="M112" s="2" t="n">
        <f aca="false">L112</f>
        <v>0</v>
      </c>
      <c r="N112" s="9" t="n">
        <v>0.2371</v>
      </c>
      <c r="O112" s="2" t="n">
        <f aca="false">RANK(N112,$N$2:$N$230,0)</f>
        <v>111</v>
      </c>
      <c r="P112" s="2" t="n">
        <f aca="false">IF(O112&lt;=설명!$B$25,1,0)</f>
        <v>0</v>
      </c>
      <c r="Q112" s="2" t="str">
        <f aca="false">IF(AND(M112=1,P112=1),"① 최우선 지원",IF(P112=1,"② 예방 대상",IF(M112=1,"③ 구조적 공백","④ 관찰")))</f>
        <v>④ 관찰</v>
      </c>
      <c r="R112" s="9" t="n">
        <v>0.3383</v>
      </c>
      <c r="S112" s="2" t="n">
        <f aca="false">RANK(R112,$R$2:$R$230,0)</f>
        <v>64</v>
      </c>
    </row>
    <row r="113" customFormat="false" ht="15" hidden="false" customHeight="false" outlineLevel="0" collapsed="false">
      <c r="A113" s="2" t="s">
        <v>280</v>
      </c>
      <c r="B113" s="3" t="s">
        <v>120</v>
      </c>
      <c r="C113" s="3" t="s">
        <v>183</v>
      </c>
      <c r="D113" s="2" t="n">
        <v>2024</v>
      </c>
      <c r="E113" s="2" t="n">
        <v>2027</v>
      </c>
      <c r="F113" s="2" t="n">
        <v>15235</v>
      </c>
      <c r="G113" s="2" t="n">
        <v>277</v>
      </c>
      <c r="H113" s="8" t="n">
        <v>18.1818181818182</v>
      </c>
      <c r="I113" s="2" t="n">
        <v>27</v>
      </c>
      <c r="J113" s="2" t="n">
        <v>65</v>
      </c>
      <c r="K113" s="2" t="n">
        <f aca="false">IF(H113&lt;=PERCENTILE($H$2:$H$230,설명!$B$26),1,0)</f>
        <v>0</v>
      </c>
      <c r="L113" s="2" t="n">
        <f aca="false">IF(I113=0,1,0)</f>
        <v>0</v>
      </c>
      <c r="M113" s="2" t="n">
        <f aca="false">L113</f>
        <v>0</v>
      </c>
      <c r="N113" s="9" t="n">
        <v>0.2357</v>
      </c>
      <c r="O113" s="2" t="n">
        <f aca="false">RANK(N113,$N$2:$N$230,0)</f>
        <v>112</v>
      </c>
      <c r="P113" s="2" t="n">
        <f aca="false">IF(O113&lt;=설명!$B$25,1,0)</f>
        <v>0</v>
      </c>
      <c r="Q113" s="2" t="str">
        <f aca="false">IF(AND(M113=1,P113=1),"① 최우선 지원",IF(P113=1,"② 예방 대상",IF(M113=1,"③ 구조적 공백","④ 관찰")))</f>
        <v>④ 관찰</v>
      </c>
      <c r="R113" s="9" t="n">
        <v>0.2345</v>
      </c>
      <c r="S113" s="2" t="n">
        <f aca="false">RANK(R113,$R$2:$R$230,0)</f>
        <v>117</v>
      </c>
    </row>
    <row r="114" customFormat="false" ht="15" hidden="false" customHeight="false" outlineLevel="0" collapsed="false">
      <c r="A114" s="2" t="s">
        <v>281</v>
      </c>
      <c r="B114" s="3" t="s">
        <v>66</v>
      </c>
      <c r="C114" s="3" t="s">
        <v>282</v>
      </c>
      <c r="D114" s="2" t="n">
        <v>2024</v>
      </c>
      <c r="E114" s="2" t="n">
        <v>2027</v>
      </c>
      <c r="F114" s="2" t="n">
        <v>5505</v>
      </c>
      <c r="G114" s="2" t="n">
        <v>135</v>
      </c>
      <c r="H114" s="8" t="n">
        <v>24.5231607629428</v>
      </c>
      <c r="I114" s="2" t="n">
        <v>9</v>
      </c>
      <c r="J114" s="2" t="n">
        <v>19</v>
      </c>
      <c r="K114" s="2" t="n">
        <f aca="false">IF(H114&lt;=PERCENTILE($H$2:$H$230,설명!$B$26),1,0)</f>
        <v>0</v>
      </c>
      <c r="L114" s="2" t="n">
        <f aca="false">IF(I114=0,1,0)</f>
        <v>0</v>
      </c>
      <c r="M114" s="2" t="n">
        <f aca="false">L114</f>
        <v>0</v>
      </c>
      <c r="N114" s="9" t="n">
        <v>0.2296</v>
      </c>
      <c r="O114" s="2" t="n">
        <f aca="false">RANK(N114,$N$2:$N$230,0)</f>
        <v>113</v>
      </c>
      <c r="P114" s="2" t="n">
        <f aca="false">IF(O114&lt;=설명!$B$25,1,0)</f>
        <v>0</v>
      </c>
      <c r="Q114" s="2" t="str">
        <f aca="false">IF(AND(M114=1,P114=1),"① 최우선 지원",IF(P114=1,"② 예방 대상",IF(M114=1,"③ 구조적 공백","④ 관찰")))</f>
        <v>④ 관찰</v>
      </c>
      <c r="R114" s="9" t="n">
        <v>0.2313</v>
      </c>
      <c r="S114" s="2" t="n">
        <f aca="false">RANK(R114,$R$2:$R$230,0)</f>
        <v>120</v>
      </c>
    </row>
    <row r="115" customFormat="false" ht="15" hidden="false" customHeight="false" outlineLevel="0" collapsed="false">
      <c r="A115" s="2" t="s">
        <v>283</v>
      </c>
      <c r="B115" s="3" t="s">
        <v>93</v>
      </c>
      <c r="C115" s="3" t="s">
        <v>136</v>
      </c>
      <c r="D115" s="2" t="n">
        <v>2024</v>
      </c>
      <c r="E115" s="2" t="n">
        <v>2027</v>
      </c>
      <c r="F115" s="2" t="n">
        <v>13990</v>
      </c>
      <c r="G115" s="2" t="n">
        <v>240</v>
      </c>
      <c r="H115" s="8" t="n">
        <v>17.1551107934239</v>
      </c>
      <c r="I115" s="2" t="n">
        <v>8</v>
      </c>
      <c r="J115" s="2" t="n">
        <v>48</v>
      </c>
      <c r="K115" s="2" t="n">
        <f aca="false">IF(H115&lt;=PERCENTILE($H$2:$H$230,설명!$B$26),1,0)</f>
        <v>0</v>
      </c>
      <c r="L115" s="2" t="n">
        <f aca="false">IF(I115=0,1,0)</f>
        <v>0</v>
      </c>
      <c r="M115" s="2" t="n">
        <f aca="false">L115</f>
        <v>0</v>
      </c>
      <c r="N115" s="9" t="n">
        <v>0.2281</v>
      </c>
      <c r="O115" s="2" t="n">
        <f aca="false">RANK(N115,$N$2:$N$230,0)</f>
        <v>114</v>
      </c>
      <c r="P115" s="2" t="n">
        <f aca="false">IF(O115&lt;=설명!$B$25,1,0)</f>
        <v>0</v>
      </c>
      <c r="Q115" s="2" t="str">
        <f aca="false">IF(AND(M115=1,P115=1),"① 최우선 지원",IF(P115=1,"② 예방 대상",IF(M115=1,"③ 구조적 공백","④ 관찰")))</f>
        <v>④ 관찰</v>
      </c>
      <c r="R115" s="9" t="n">
        <v>0.2939</v>
      </c>
      <c r="S115" s="2" t="n">
        <f aca="false">RANK(R115,$R$2:$R$230,0)</f>
        <v>90</v>
      </c>
    </row>
    <row r="116" customFormat="false" ht="15" hidden="false" customHeight="false" outlineLevel="0" collapsed="false">
      <c r="A116" s="2" t="s">
        <v>284</v>
      </c>
      <c r="B116" s="3" t="s">
        <v>199</v>
      </c>
      <c r="C116" s="3" t="s">
        <v>285</v>
      </c>
      <c r="D116" s="2" t="n">
        <v>2024</v>
      </c>
      <c r="E116" s="2" t="n">
        <v>2027</v>
      </c>
      <c r="F116" s="2" t="n">
        <v>31110</v>
      </c>
      <c r="G116" s="2" t="n">
        <v>550</v>
      </c>
      <c r="H116" s="8" t="n">
        <v>17.6792028286725</v>
      </c>
      <c r="I116" s="2" t="n">
        <v>36</v>
      </c>
      <c r="J116" s="2" t="n">
        <v>108</v>
      </c>
      <c r="K116" s="2" t="n">
        <f aca="false">IF(H116&lt;=PERCENTILE($H$2:$H$230,설명!$B$26),1,0)</f>
        <v>0</v>
      </c>
      <c r="L116" s="2" t="n">
        <f aca="false">IF(I116=0,1,0)</f>
        <v>0</v>
      </c>
      <c r="M116" s="2" t="n">
        <f aca="false">L116</f>
        <v>0</v>
      </c>
      <c r="N116" s="9" t="n">
        <v>0.228</v>
      </c>
      <c r="O116" s="2" t="n">
        <f aca="false">RANK(N116,$N$2:$N$230,0)</f>
        <v>115</v>
      </c>
      <c r="P116" s="2" t="n">
        <f aca="false">IF(O116&lt;=설명!$B$25,1,0)</f>
        <v>0</v>
      </c>
      <c r="Q116" s="2" t="str">
        <f aca="false">IF(AND(M116=1,P116=1),"① 최우선 지원",IF(P116=1,"② 예방 대상",IF(M116=1,"③ 구조적 공백","④ 관찰")))</f>
        <v>④ 관찰</v>
      </c>
      <c r="R116" s="9" t="n">
        <v>0.2319</v>
      </c>
      <c r="S116" s="2" t="n">
        <f aca="false">RANK(R116,$R$2:$R$230,0)</f>
        <v>119</v>
      </c>
    </row>
    <row r="117" customFormat="false" ht="15" hidden="false" customHeight="false" outlineLevel="0" collapsed="false">
      <c r="A117" s="2" t="s">
        <v>286</v>
      </c>
      <c r="B117" s="3" t="s">
        <v>93</v>
      </c>
      <c r="C117" s="3" t="s">
        <v>226</v>
      </c>
      <c r="D117" s="2" t="n">
        <v>2024</v>
      </c>
      <c r="E117" s="2" t="n">
        <v>2027</v>
      </c>
      <c r="F117" s="2" t="n">
        <v>6085</v>
      </c>
      <c r="G117" s="2" t="n">
        <v>104</v>
      </c>
      <c r="H117" s="8" t="n">
        <v>17.0912078882498</v>
      </c>
      <c r="I117" s="2" t="n">
        <v>8</v>
      </c>
      <c r="J117" s="2" t="n">
        <v>33</v>
      </c>
      <c r="K117" s="2" t="n">
        <f aca="false">IF(H117&lt;=PERCENTILE($H$2:$H$230,설명!$B$26),1,0)</f>
        <v>0</v>
      </c>
      <c r="L117" s="2" t="n">
        <f aca="false">IF(I117=0,1,0)</f>
        <v>0</v>
      </c>
      <c r="M117" s="2" t="n">
        <f aca="false">L117</f>
        <v>0</v>
      </c>
      <c r="N117" s="9" t="n">
        <v>0.2265</v>
      </c>
      <c r="O117" s="2" t="n">
        <f aca="false">RANK(N117,$N$2:$N$230,0)</f>
        <v>116</v>
      </c>
      <c r="P117" s="2" t="n">
        <f aca="false">IF(O117&lt;=설명!$B$25,1,0)</f>
        <v>0</v>
      </c>
      <c r="Q117" s="2" t="str">
        <f aca="false">IF(AND(M117=1,P117=1),"① 최우선 지원",IF(P117=1,"② 예방 대상",IF(M117=1,"③ 구조적 공백","④ 관찰")))</f>
        <v>④ 관찰</v>
      </c>
      <c r="R117" s="9" t="n">
        <v>0.2308</v>
      </c>
      <c r="S117" s="2" t="n">
        <f aca="false">RANK(R117,$R$2:$R$230,0)</f>
        <v>121</v>
      </c>
    </row>
    <row r="118" customFormat="false" ht="15" hidden="false" customHeight="false" outlineLevel="0" collapsed="false">
      <c r="A118" s="2" t="s">
        <v>287</v>
      </c>
      <c r="B118" s="3" t="s">
        <v>66</v>
      </c>
      <c r="C118" s="3" t="s">
        <v>288</v>
      </c>
      <c r="D118" s="2" t="n">
        <v>2024</v>
      </c>
      <c r="E118" s="2" t="n">
        <v>2027</v>
      </c>
      <c r="F118" s="2" t="n">
        <v>2985</v>
      </c>
      <c r="G118" s="2" t="n">
        <v>45</v>
      </c>
      <c r="H118" s="8" t="n">
        <v>15.0753768844221</v>
      </c>
      <c r="I118" s="2" t="n">
        <v>3</v>
      </c>
      <c r="J118" s="2" t="n">
        <v>4</v>
      </c>
      <c r="K118" s="2" t="n">
        <f aca="false">IF(H118&lt;=PERCENTILE($H$2:$H$230,설명!$B$26),1,0)</f>
        <v>1</v>
      </c>
      <c r="L118" s="2" t="n">
        <f aca="false">IF(I118=0,1,0)</f>
        <v>0</v>
      </c>
      <c r="M118" s="2" t="n">
        <f aca="false">L118</f>
        <v>0</v>
      </c>
      <c r="N118" s="9" t="n">
        <v>0.2263</v>
      </c>
      <c r="O118" s="2" t="n">
        <f aca="false">RANK(N118,$N$2:$N$230,0)</f>
        <v>117</v>
      </c>
      <c r="P118" s="2" t="n">
        <f aca="false">IF(O118&lt;=설명!$B$25,1,0)</f>
        <v>0</v>
      </c>
      <c r="Q118" s="2" t="str">
        <f aca="false">IF(AND(M118=1,P118=1),"① 최우선 지원",IF(P118=1,"② 예방 대상",IF(M118=1,"③ 구조적 공백","④ 관찰")))</f>
        <v>④ 관찰</v>
      </c>
      <c r="R118" s="9" t="n">
        <v>0.2771</v>
      </c>
      <c r="S118" s="2" t="n">
        <f aca="false">RANK(R118,$R$2:$R$230,0)</f>
        <v>98</v>
      </c>
    </row>
    <row r="119" customFormat="false" ht="15" hidden="false" customHeight="false" outlineLevel="0" collapsed="false">
      <c r="A119" s="2" t="s">
        <v>289</v>
      </c>
      <c r="B119" s="3" t="s">
        <v>135</v>
      </c>
      <c r="C119" s="3" t="s">
        <v>114</v>
      </c>
      <c r="D119" s="2" t="n">
        <v>2024</v>
      </c>
      <c r="E119" s="2" t="n">
        <v>2027</v>
      </c>
      <c r="F119" s="2" t="n">
        <v>10768</v>
      </c>
      <c r="G119" s="2" t="n">
        <v>174</v>
      </c>
      <c r="H119" s="8" t="n">
        <v>16.1589895988113</v>
      </c>
      <c r="I119" s="2" t="n">
        <v>20</v>
      </c>
      <c r="J119" s="2" t="n">
        <v>50</v>
      </c>
      <c r="K119" s="2" t="n">
        <f aca="false">IF(H119&lt;=PERCENTILE($H$2:$H$230,설명!$B$26),1,0)</f>
        <v>0</v>
      </c>
      <c r="L119" s="2" t="n">
        <f aca="false">IF(I119=0,1,0)</f>
        <v>0</v>
      </c>
      <c r="M119" s="2" t="n">
        <f aca="false">L119</f>
        <v>0</v>
      </c>
      <c r="N119" s="9" t="n">
        <v>0.225</v>
      </c>
      <c r="O119" s="2" t="n">
        <f aca="false">RANK(N119,$N$2:$N$230,0)</f>
        <v>118</v>
      </c>
      <c r="P119" s="2" t="n">
        <f aca="false">IF(O119&lt;=설명!$B$25,1,0)</f>
        <v>0</v>
      </c>
      <c r="Q119" s="2" t="str">
        <f aca="false">IF(AND(M119=1,P119=1),"① 최우선 지원",IF(P119=1,"② 예방 대상",IF(M119=1,"③ 구조적 공백","④ 관찰")))</f>
        <v>④ 관찰</v>
      </c>
      <c r="R119" s="9" t="n">
        <v>0.2056</v>
      </c>
      <c r="S119" s="2" t="n">
        <f aca="false">RANK(R119,$R$2:$R$230,0)</f>
        <v>134</v>
      </c>
    </row>
    <row r="120" customFormat="false" ht="15" hidden="false" customHeight="false" outlineLevel="0" collapsed="false">
      <c r="A120" s="2" t="s">
        <v>290</v>
      </c>
      <c r="B120" s="3" t="s">
        <v>66</v>
      </c>
      <c r="C120" s="3" t="s">
        <v>291</v>
      </c>
      <c r="D120" s="2" t="n">
        <v>2024</v>
      </c>
      <c r="E120" s="2" t="n">
        <v>2027</v>
      </c>
      <c r="F120" s="2" t="n">
        <v>40017</v>
      </c>
      <c r="G120" s="2" t="n">
        <v>719</v>
      </c>
      <c r="H120" s="8" t="n">
        <v>17.9673638703551</v>
      </c>
      <c r="I120" s="2" t="n">
        <v>59</v>
      </c>
      <c r="J120" s="2" t="n">
        <v>186</v>
      </c>
      <c r="K120" s="2" t="n">
        <f aca="false">IF(H120&lt;=PERCENTILE($H$2:$H$230,설명!$B$26),1,0)</f>
        <v>0</v>
      </c>
      <c r="L120" s="2" t="n">
        <f aca="false">IF(I120=0,1,0)</f>
        <v>0</v>
      </c>
      <c r="M120" s="2" t="n">
        <f aca="false">L120</f>
        <v>0</v>
      </c>
      <c r="N120" s="9" t="n">
        <v>0.2247</v>
      </c>
      <c r="O120" s="2" t="n">
        <f aca="false">RANK(N120,$N$2:$N$230,0)</f>
        <v>119</v>
      </c>
      <c r="P120" s="2" t="n">
        <f aca="false">IF(O120&lt;=설명!$B$25,1,0)</f>
        <v>0</v>
      </c>
      <c r="Q120" s="2" t="str">
        <f aca="false">IF(AND(M120=1,P120=1),"① 최우선 지원",IF(P120=1,"② 예방 대상",IF(M120=1,"③ 구조적 공백","④ 관찰")))</f>
        <v>④ 관찰</v>
      </c>
      <c r="R120" s="9" t="n">
        <v>0.2893</v>
      </c>
      <c r="S120" s="2" t="n">
        <f aca="false">RANK(R120,$R$2:$R$230,0)</f>
        <v>94</v>
      </c>
    </row>
    <row r="121" customFormat="false" ht="15" hidden="false" customHeight="false" outlineLevel="0" collapsed="false">
      <c r="A121" s="2" t="s">
        <v>292</v>
      </c>
      <c r="B121" s="3" t="s">
        <v>204</v>
      </c>
      <c r="C121" s="3" t="s">
        <v>293</v>
      </c>
      <c r="D121" s="2" t="n">
        <v>2024</v>
      </c>
      <c r="E121" s="2" t="n">
        <v>2027</v>
      </c>
      <c r="F121" s="2" t="n">
        <v>540</v>
      </c>
      <c r="G121" s="2" t="n">
        <v>5</v>
      </c>
      <c r="H121" s="8" t="n">
        <v>9.25925925925926</v>
      </c>
      <c r="I121" s="2" t="n">
        <v>0</v>
      </c>
      <c r="J121" s="2" t="n">
        <v>0</v>
      </c>
      <c r="K121" s="2" t="n">
        <f aca="false">IF(H121&lt;=PERCENTILE($H$2:$H$230,설명!$B$26),1,0)</f>
        <v>1</v>
      </c>
      <c r="L121" s="2" t="n">
        <f aca="false">IF(I121=0,1,0)</f>
        <v>1</v>
      </c>
      <c r="M121" s="2" t="n">
        <f aca="false">L121</f>
        <v>1</v>
      </c>
      <c r="N121" s="9" t="n">
        <v>0.2234</v>
      </c>
      <c r="O121" s="2" t="n">
        <f aca="false">RANK(N121,$N$2:$N$230,0)</f>
        <v>120</v>
      </c>
      <c r="P121" s="2" t="n">
        <f aca="false">IF(O121&lt;=설명!$B$25,1,0)</f>
        <v>0</v>
      </c>
      <c r="Q121" s="2" t="str">
        <f aca="false">IF(AND(M121=1,P121=1),"① 최우선 지원",IF(P121=1,"② 예방 대상",IF(M121=1,"③ 구조적 공백","④ 관찰")))</f>
        <v>③ 구조적 공백</v>
      </c>
      <c r="R121" s="9" t="n">
        <v>0.2174</v>
      </c>
      <c r="S121" s="2" t="n">
        <f aca="false">RANK(R121,$R$2:$R$230,0)</f>
        <v>127</v>
      </c>
    </row>
    <row r="122" customFormat="false" ht="15" hidden="false" customHeight="false" outlineLevel="0" collapsed="false">
      <c r="A122" s="2" t="s">
        <v>294</v>
      </c>
      <c r="B122" s="3" t="s">
        <v>71</v>
      </c>
      <c r="C122" s="3" t="s">
        <v>295</v>
      </c>
      <c r="D122" s="2" t="n">
        <v>2024</v>
      </c>
      <c r="E122" s="2" t="n">
        <v>2027</v>
      </c>
      <c r="F122" s="2" t="n">
        <v>345</v>
      </c>
      <c r="G122" s="2" t="n">
        <v>11</v>
      </c>
      <c r="H122" s="8" t="n">
        <v>31.8840579710145</v>
      </c>
      <c r="I122" s="2" t="n">
        <v>0</v>
      </c>
      <c r="J122" s="2" t="n">
        <v>1</v>
      </c>
      <c r="K122" s="2" t="n">
        <f aca="false">IF(H122&lt;=PERCENTILE($H$2:$H$230,설명!$B$26),1,0)</f>
        <v>0</v>
      </c>
      <c r="L122" s="2" t="n">
        <f aca="false">IF(I122=0,1,0)</f>
        <v>1</v>
      </c>
      <c r="M122" s="2" t="n">
        <f aca="false">L122</f>
        <v>1</v>
      </c>
      <c r="N122" s="9" t="n">
        <v>0.2233</v>
      </c>
      <c r="O122" s="2" t="n">
        <f aca="false">RANK(N122,$N$2:$N$230,0)</f>
        <v>121</v>
      </c>
      <c r="P122" s="2" t="n">
        <f aca="false">IF(O122&lt;=설명!$B$25,1,0)</f>
        <v>0</v>
      </c>
      <c r="Q122" s="2" t="str">
        <f aca="false">IF(AND(M122=1,P122=1),"① 최우선 지원",IF(P122=1,"② 예방 대상",IF(M122=1,"③ 구조적 공백","④ 관찰")))</f>
        <v>③ 구조적 공백</v>
      </c>
      <c r="R122" s="9" t="n">
        <v>0.2485</v>
      </c>
      <c r="S122" s="2" t="n">
        <f aca="false">RANK(R122,$R$2:$R$230,0)</f>
        <v>110</v>
      </c>
    </row>
    <row r="123" customFormat="false" ht="15" hidden="false" customHeight="false" outlineLevel="0" collapsed="false">
      <c r="A123" s="2" t="s">
        <v>296</v>
      </c>
      <c r="B123" s="3" t="s">
        <v>204</v>
      </c>
      <c r="C123" s="3" t="s">
        <v>297</v>
      </c>
      <c r="D123" s="2" t="n">
        <v>2024</v>
      </c>
      <c r="E123" s="2" t="n">
        <v>2027</v>
      </c>
      <c r="F123" s="2" t="n">
        <v>777</v>
      </c>
      <c r="G123" s="2" t="n">
        <v>18</v>
      </c>
      <c r="H123" s="8" t="n">
        <v>23.1660231660232</v>
      </c>
      <c r="I123" s="2" t="n">
        <v>2</v>
      </c>
      <c r="J123" s="2" t="n">
        <v>2</v>
      </c>
      <c r="K123" s="2" t="n">
        <f aca="false">IF(H123&lt;=PERCENTILE($H$2:$H$230,설명!$B$26),1,0)</f>
        <v>0</v>
      </c>
      <c r="L123" s="2" t="n">
        <f aca="false">IF(I123=0,1,0)</f>
        <v>0</v>
      </c>
      <c r="M123" s="2" t="n">
        <f aca="false">L123</f>
        <v>0</v>
      </c>
      <c r="N123" s="9" t="n">
        <v>0.2231</v>
      </c>
      <c r="O123" s="2" t="n">
        <f aca="false">RANK(N123,$N$2:$N$230,0)</f>
        <v>122</v>
      </c>
      <c r="P123" s="2" t="n">
        <f aca="false">IF(O123&lt;=설명!$B$25,1,0)</f>
        <v>0</v>
      </c>
      <c r="Q123" s="2" t="str">
        <f aca="false">IF(AND(M123=1,P123=1),"① 최우선 지원",IF(P123=1,"② 예방 대상",IF(M123=1,"③ 구조적 공백","④ 관찰")))</f>
        <v>④ 관찰</v>
      </c>
      <c r="R123" s="9" t="n">
        <v>0.2674</v>
      </c>
      <c r="S123" s="2" t="n">
        <f aca="false">RANK(R123,$R$2:$R$230,0)</f>
        <v>107</v>
      </c>
    </row>
    <row r="124" customFormat="false" ht="15" hidden="false" customHeight="false" outlineLevel="0" collapsed="false">
      <c r="A124" s="2" t="s">
        <v>298</v>
      </c>
      <c r="B124" s="3" t="s">
        <v>76</v>
      </c>
      <c r="C124" s="3" t="s">
        <v>299</v>
      </c>
      <c r="D124" s="2" t="n">
        <v>2024</v>
      </c>
      <c r="E124" s="2" t="n">
        <v>2027</v>
      </c>
      <c r="F124" s="2" t="n">
        <v>223</v>
      </c>
      <c r="G124" s="2" t="n">
        <v>5</v>
      </c>
      <c r="H124" s="8" t="n">
        <v>22.4215246636771</v>
      </c>
      <c r="I124" s="2" t="n">
        <v>0</v>
      </c>
      <c r="J124" s="2" t="n">
        <v>0</v>
      </c>
      <c r="K124" s="2" t="n">
        <f aca="false">IF(H124&lt;=PERCENTILE($H$2:$H$230,설명!$B$26),1,0)</f>
        <v>0</v>
      </c>
      <c r="L124" s="2" t="n">
        <f aca="false">IF(I124=0,1,0)</f>
        <v>1</v>
      </c>
      <c r="M124" s="2" t="n">
        <f aca="false">L124</f>
        <v>1</v>
      </c>
      <c r="N124" s="9" t="n">
        <v>0.2218</v>
      </c>
      <c r="O124" s="2" t="n">
        <f aca="false">RANK(N124,$N$2:$N$230,0)</f>
        <v>123</v>
      </c>
      <c r="P124" s="2" t="n">
        <f aca="false">IF(O124&lt;=설명!$B$25,1,0)</f>
        <v>0</v>
      </c>
      <c r="Q124" s="2" t="str">
        <f aca="false">IF(AND(M124=1,P124=1),"① 최우선 지원",IF(P124=1,"② 예방 대상",IF(M124=1,"③ 구조적 공백","④ 관찰")))</f>
        <v>③ 구조적 공백</v>
      </c>
      <c r="R124" s="9" t="n">
        <v>0.2495</v>
      </c>
      <c r="S124" s="2" t="n">
        <f aca="false">RANK(R124,$R$2:$R$230,0)</f>
        <v>109</v>
      </c>
    </row>
    <row r="125" customFormat="false" ht="15" hidden="false" customHeight="false" outlineLevel="0" collapsed="false">
      <c r="A125" s="2" t="s">
        <v>300</v>
      </c>
      <c r="B125" s="3" t="s">
        <v>54</v>
      </c>
      <c r="C125" s="3" t="s">
        <v>301</v>
      </c>
      <c r="D125" s="2" t="n">
        <v>2024</v>
      </c>
      <c r="E125" s="2" t="n">
        <v>2027</v>
      </c>
      <c r="F125" s="2" t="n">
        <v>457</v>
      </c>
      <c r="G125" s="2" t="n">
        <v>7</v>
      </c>
      <c r="H125" s="8" t="n">
        <v>15.3172866520788</v>
      </c>
      <c r="I125" s="2" t="n">
        <v>0</v>
      </c>
      <c r="J125" s="2" t="n">
        <v>1</v>
      </c>
      <c r="K125" s="2" t="n">
        <f aca="false">IF(H125&lt;=PERCENTILE($H$2:$H$230,설명!$B$26),1,0)</f>
        <v>0</v>
      </c>
      <c r="L125" s="2" t="n">
        <f aca="false">IF(I125=0,1,0)</f>
        <v>1</v>
      </c>
      <c r="M125" s="2" t="n">
        <f aca="false">L125</f>
        <v>1</v>
      </c>
      <c r="N125" s="9" t="n">
        <v>0.2172</v>
      </c>
      <c r="O125" s="2" t="n">
        <f aca="false">RANK(N125,$N$2:$N$230,0)</f>
        <v>124</v>
      </c>
      <c r="P125" s="2" t="n">
        <f aca="false">IF(O125&lt;=설명!$B$25,1,0)</f>
        <v>0</v>
      </c>
      <c r="Q125" s="2" t="str">
        <f aca="false">IF(AND(M125=1,P125=1),"① 최우선 지원",IF(P125=1,"② 예방 대상",IF(M125=1,"③ 구조적 공백","④ 관찰")))</f>
        <v>③ 구조적 공백</v>
      </c>
      <c r="R125" s="9" t="n">
        <v>0.2116</v>
      </c>
      <c r="S125" s="2" t="n">
        <f aca="false">RANK(R125,$R$2:$R$230,0)</f>
        <v>131</v>
      </c>
    </row>
    <row r="126" customFormat="false" ht="15" hidden="false" customHeight="false" outlineLevel="0" collapsed="false">
      <c r="A126" s="2" t="s">
        <v>302</v>
      </c>
      <c r="B126" s="3" t="s">
        <v>76</v>
      </c>
      <c r="C126" s="3" t="s">
        <v>303</v>
      </c>
      <c r="D126" s="2" t="n">
        <v>2024</v>
      </c>
      <c r="E126" s="2" t="n">
        <v>2027</v>
      </c>
      <c r="F126" s="2" t="n">
        <v>7729</v>
      </c>
      <c r="G126" s="2" t="n">
        <v>128</v>
      </c>
      <c r="H126" s="8" t="n">
        <v>16.5610040108682</v>
      </c>
      <c r="I126" s="2" t="n">
        <v>11</v>
      </c>
      <c r="J126" s="2" t="n">
        <v>23</v>
      </c>
      <c r="K126" s="2" t="n">
        <f aca="false">IF(H126&lt;=PERCENTILE($H$2:$H$230,설명!$B$26),1,0)</f>
        <v>0</v>
      </c>
      <c r="L126" s="2" t="n">
        <f aca="false">IF(I126=0,1,0)</f>
        <v>0</v>
      </c>
      <c r="M126" s="2" t="n">
        <f aca="false">L126</f>
        <v>0</v>
      </c>
      <c r="N126" s="9" t="n">
        <v>0.2165</v>
      </c>
      <c r="O126" s="2" t="n">
        <f aca="false">RANK(N126,$N$2:$N$230,0)</f>
        <v>125</v>
      </c>
      <c r="P126" s="2" t="n">
        <f aca="false">IF(O126&lt;=설명!$B$25,1,0)</f>
        <v>0</v>
      </c>
      <c r="Q126" s="2" t="str">
        <f aca="false">IF(AND(M126=1,P126=1),"① 최우선 지원",IF(P126=1,"② 예방 대상",IF(M126=1,"③ 구조적 공백","④ 관찰")))</f>
        <v>④ 관찰</v>
      </c>
      <c r="R126" s="9" t="n">
        <v>0.2274</v>
      </c>
      <c r="S126" s="2" t="n">
        <f aca="false">RANK(R126,$R$2:$R$230,0)</f>
        <v>124</v>
      </c>
    </row>
    <row r="127" customFormat="false" ht="15" hidden="false" customHeight="false" outlineLevel="0" collapsed="false">
      <c r="A127" s="2" t="s">
        <v>304</v>
      </c>
      <c r="B127" s="3" t="s">
        <v>135</v>
      </c>
      <c r="C127" s="3" t="s">
        <v>104</v>
      </c>
      <c r="D127" s="2" t="n">
        <v>2024</v>
      </c>
      <c r="E127" s="2" t="n">
        <v>2027</v>
      </c>
      <c r="F127" s="2" t="n">
        <v>4611</v>
      </c>
      <c r="G127" s="2" t="n">
        <v>35</v>
      </c>
      <c r="H127" s="8" t="n">
        <v>7.59054435046628</v>
      </c>
      <c r="I127" s="2" t="n">
        <v>4</v>
      </c>
      <c r="J127" s="2" t="n">
        <v>24</v>
      </c>
      <c r="K127" s="2" t="n">
        <f aca="false">IF(H127&lt;=PERCENTILE($H$2:$H$230,설명!$B$26),1,0)</f>
        <v>1</v>
      </c>
      <c r="L127" s="2" t="n">
        <f aca="false">IF(I127=0,1,0)</f>
        <v>0</v>
      </c>
      <c r="M127" s="2" t="n">
        <f aca="false">L127</f>
        <v>0</v>
      </c>
      <c r="N127" s="9" t="n">
        <v>0.2137</v>
      </c>
      <c r="O127" s="2" t="n">
        <f aca="false">RANK(N127,$N$2:$N$230,0)</f>
        <v>126</v>
      </c>
      <c r="P127" s="2" t="n">
        <f aca="false">IF(O127&lt;=설명!$B$25,1,0)</f>
        <v>0</v>
      </c>
      <c r="Q127" s="2" t="str">
        <f aca="false">IF(AND(M127=1,P127=1),"① 최우선 지원",IF(P127=1,"② 예방 대상",IF(M127=1,"③ 구조적 공백","④ 관찰")))</f>
        <v>④ 관찰</v>
      </c>
      <c r="R127" s="9" t="n">
        <v>0.1988</v>
      </c>
      <c r="S127" s="2" t="n">
        <f aca="false">RANK(R127,$R$2:$R$230,0)</f>
        <v>137</v>
      </c>
    </row>
    <row r="128" customFormat="false" ht="15" hidden="false" customHeight="false" outlineLevel="0" collapsed="false">
      <c r="A128" s="2" t="s">
        <v>305</v>
      </c>
      <c r="B128" s="3" t="s">
        <v>113</v>
      </c>
      <c r="C128" s="3" t="s">
        <v>104</v>
      </c>
      <c r="D128" s="2" t="n">
        <v>2024</v>
      </c>
      <c r="E128" s="2" t="n">
        <v>2027</v>
      </c>
      <c r="F128" s="2" t="n">
        <v>6056</v>
      </c>
      <c r="G128" s="2" t="n">
        <v>95</v>
      </c>
      <c r="H128" s="8" t="n">
        <v>15.6869220607662</v>
      </c>
      <c r="I128" s="2" t="n">
        <v>6</v>
      </c>
      <c r="J128" s="2" t="n">
        <v>17</v>
      </c>
      <c r="K128" s="2" t="n">
        <f aca="false">IF(H128&lt;=PERCENTILE($H$2:$H$230,설명!$B$26),1,0)</f>
        <v>0</v>
      </c>
      <c r="L128" s="2" t="n">
        <f aca="false">IF(I128=0,1,0)</f>
        <v>0</v>
      </c>
      <c r="M128" s="2" t="n">
        <f aca="false">L128</f>
        <v>0</v>
      </c>
      <c r="N128" s="9" t="n">
        <v>0.2109</v>
      </c>
      <c r="O128" s="2" t="n">
        <f aca="false">RANK(N128,$N$2:$N$230,0)</f>
        <v>127</v>
      </c>
      <c r="P128" s="2" t="n">
        <f aca="false">IF(O128&lt;=설명!$B$25,1,0)</f>
        <v>0</v>
      </c>
      <c r="Q128" s="2" t="str">
        <f aca="false">IF(AND(M128=1,P128=1),"① 최우선 지원",IF(P128=1,"② 예방 대상",IF(M128=1,"③ 구조적 공백","④ 관찰")))</f>
        <v>④ 관찰</v>
      </c>
      <c r="R128" s="9" t="n">
        <v>0.2743</v>
      </c>
      <c r="S128" s="2" t="n">
        <f aca="false">RANK(R128,$R$2:$R$230,0)</f>
        <v>101</v>
      </c>
    </row>
    <row r="129" customFormat="false" ht="15" hidden="false" customHeight="false" outlineLevel="0" collapsed="false">
      <c r="A129" s="2" t="s">
        <v>306</v>
      </c>
      <c r="B129" s="3" t="s">
        <v>76</v>
      </c>
      <c r="C129" s="3" t="s">
        <v>307</v>
      </c>
      <c r="D129" s="2" t="n">
        <v>2024</v>
      </c>
      <c r="E129" s="2" t="n">
        <v>2027</v>
      </c>
      <c r="F129" s="2" t="n">
        <v>848</v>
      </c>
      <c r="G129" s="2" t="n">
        <v>11</v>
      </c>
      <c r="H129" s="8" t="n">
        <v>12.9716981132076</v>
      </c>
      <c r="I129" s="2" t="n">
        <v>0</v>
      </c>
      <c r="J129" s="2" t="n">
        <v>2</v>
      </c>
      <c r="K129" s="2" t="n">
        <f aca="false">IF(H129&lt;=PERCENTILE($H$2:$H$230,설명!$B$26),1,0)</f>
        <v>1</v>
      </c>
      <c r="L129" s="2" t="n">
        <f aca="false">IF(I129=0,1,0)</f>
        <v>1</v>
      </c>
      <c r="M129" s="2" t="n">
        <f aca="false">L129</f>
        <v>1</v>
      </c>
      <c r="N129" s="9" t="n">
        <v>0.208</v>
      </c>
      <c r="O129" s="2" t="n">
        <f aca="false">RANK(N129,$N$2:$N$230,0)</f>
        <v>128</v>
      </c>
      <c r="P129" s="2" t="n">
        <f aca="false">IF(O129&lt;=설명!$B$25,1,0)</f>
        <v>0</v>
      </c>
      <c r="Q129" s="2" t="str">
        <f aca="false">IF(AND(M129=1,P129=1),"① 최우선 지원",IF(P129=1,"② 예방 대상",IF(M129=1,"③ 구조적 공백","④ 관찰")))</f>
        <v>③ 구조적 공백</v>
      </c>
      <c r="R129" s="9" t="n">
        <v>0.2297</v>
      </c>
      <c r="S129" s="2" t="n">
        <f aca="false">RANK(R129,$R$2:$R$230,0)</f>
        <v>123</v>
      </c>
    </row>
    <row r="130" customFormat="false" ht="15" hidden="false" customHeight="false" outlineLevel="0" collapsed="false">
      <c r="A130" s="2" t="s">
        <v>308</v>
      </c>
      <c r="B130" s="3" t="s">
        <v>120</v>
      </c>
      <c r="C130" s="3" t="s">
        <v>309</v>
      </c>
      <c r="D130" s="2" t="n">
        <v>2024</v>
      </c>
      <c r="E130" s="2" t="n">
        <v>2027</v>
      </c>
      <c r="F130" s="2" t="n">
        <v>9245</v>
      </c>
      <c r="G130" s="2" t="n">
        <v>175</v>
      </c>
      <c r="H130" s="8" t="n">
        <v>18.9291508923743</v>
      </c>
      <c r="I130" s="2" t="n">
        <v>15</v>
      </c>
      <c r="J130" s="2" t="n">
        <v>47</v>
      </c>
      <c r="K130" s="2" t="n">
        <f aca="false">IF(H130&lt;=PERCENTILE($H$2:$H$230,설명!$B$26),1,0)</f>
        <v>0</v>
      </c>
      <c r="L130" s="2" t="n">
        <f aca="false">IF(I130=0,1,0)</f>
        <v>0</v>
      </c>
      <c r="M130" s="2" t="n">
        <f aca="false">L130</f>
        <v>0</v>
      </c>
      <c r="N130" s="9" t="n">
        <v>0.2001</v>
      </c>
      <c r="O130" s="2" t="n">
        <f aca="false">RANK(N130,$N$2:$N$230,0)</f>
        <v>129</v>
      </c>
      <c r="P130" s="2" t="n">
        <f aca="false">IF(O130&lt;=설명!$B$25,1,0)</f>
        <v>0</v>
      </c>
      <c r="Q130" s="2" t="str">
        <f aca="false">IF(AND(M130=1,P130=1),"① 최우선 지원",IF(P130=1,"② 예방 대상",IF(M130=1,"③ 구조적 공백","④ 관찰")))</f>
        <v>④ 관찰</v>
      </c>
      <c r="R130" s="9" t="n">
        <v>0.2039</v>
      </c>
      <c r="S130" s="2" t="n">
        <f aca="false">RANK(R130,$R$2:$R$230,0)</f>
        <v>136</v>
      </c>
    </row>
    <row r="131" customFormat="false" ht="15" hidden="false" customHeight="false" outlineLevel="0" collapsed="false">
      <c r="A131" s="2" t="s">
        <v>310</v>
      </c>
      <c r="B131" s="3" t="s">
        <v>76</v>
      </c>
      <c r="C131" s="3" t="s">
        <v>311</v>
      </c>
      <c r="D131" s="2" t="n">
        <v>2024</v>
      </c>
      <c r="E131" s="2" t="n">
        <v>2027</v>
      </c>
      <c r="F131" s="2" t="n">
        <v>170</v>
      </c>
      <c r="G131" s="2" t="n">
        <v>1</v>
      </c>
      <c r="H131" s="8" t="n">
        <v>5.88235294117647</v>
      </c>
      <c r="I131" s="2" t="n">
        <v>0</v>
      </c>
      <c r="J131" s="2" t="n">
        <v>1</v>
      </c>
      <c r="K131" s="2" t="n">
        <f aca="false">IF(H131&lt;=PERCENTILE($H$2:$H$230,설명!$B$26),1,0)</f>
        <v>1</v>
      </c>
      <c r="L131" s="2" t="n">
        <f aca="false">IF(I131=0,1,0)</f>
        <v>1</v>
      </c>
      <c r="M131" s="2" t="n">
        <f aca="false">L131</f>
        <v>1</v>
      </c>
      <c r="N131" s="9" t="n">
        <v>0.1954</v>
      </c>
      <c r="O131" s="2" t="n">
        <f aca="false">RANK(N131,$N$2:$N$230,0)</f>
        <v>130</v>
      </c>
      <c r="P131" s="2" t="n">
        <f aca="false">IF(O131&lt;=설명!$B$25,1,0)</f>
        <v>0</v>
      </c>
      <c r="Q131" s="2" t="str">
        <f aca="false">IF(AND(M131=1,P131=1),"① 최우선 지원",IF(P131=1,"② 예방 대상",IF(M131=1,"③ 구조적 공백","④ 관찰")))</f>
        <v>③ 구조적 공백</v>
      </c>
      <c r="R131" s="9" t="n">
        <v>0.1907</v>
      </c>
      <c r="S131" s="2" t="n">
        <f aca="false">RANK(R131,$R$2:$R$230,0)</f>
        <v>139</v>
      </c>
    </row>
    <row r="132" customFormat="false" ht="15" hidden="false" customHeight="false" outlineLevel="0" collapsed="false">
      <c r="A132" s="2" t="s">
        <v>312</v>
      </c>
      <c r="B132" s="3" t="s">
        <v>90</v>
      </c>
      <c r="C132" s="3" t="s">
        <v>313</v>
      </c>
      <c r="D132" s="2" t="n">
        <v>2024</v>
      </c>
      <c r="E132" s="2" t="n">
        <v>2027</v>
      </c>
      <c r="F132" s="2" t="n">
        <v>603</v>
      </c>
      <c r="G132" s="2" t="n">
        <v>12</v>
      </c>
      <c r="H132" s="8" t="n">
        <v>19.9004975124378</v>
      </c>
      <c r="I132" s="2" t="n">
        <v>0</v>
      </c>
      <c r="J132" s="2" t="n">
        <v>1</v>
      </c>
      <c r="K132" s="2" t="n">
        <f aca="false">IF(H132&lt;=PERCENTILE($H$2:$H$230,설명!$B$26),1,0)</f>
        <v>0</v>
      </c>
      <c r="L132" s="2" t="n">
        <f aca="false">IF(I132=0,1,0)</f>
        <v>1</v>
      </c>
      <c r="M132" s="2" t="n">
        <f aca="false">L132</f>
        <v>1</v>
      </c>
      <c r="N132" s="9" t="n">
        <v>0.1949</v>
      </c>
      <c r="O132" s="2" t="n">
        <f aca="false">RANK(N132,$N$2:$N$230,0)</f>
        <v>131</v>
      </c>
      <c r="P132" s="2" t="n">
        <f aca="false">IF(O132&lt;=설명!$B$25,1,0)</f>
        <v>0</v>
      </c>
      <c r="Q132" s="2" t="str">
        <f aca="false">IF(AND(M132=1,P132=1),"① 최우선 지원",IF(P132=1,"② 예방 대상",IF(M132=1,"③ 구조적 공백","④ 관찰")))</f>
        <v>③ 구조적 공백</v>
      </c>
      <c r="R132" s="9" t="n">
        <v>0.216</v>
      </c>
      <c r="S132" s="2" t="n">
        <f aca="false">RANK(R132,$R$2:$R$230,0)</f>
        <v>129</v>
      </c>
    </row>
    <row r="133" customFormat="false" ht="15" hidden="false" customHeight="false" outlineLevel="0" collapsed="false">
      <c r="A133" s="2" t="s">
        <v>314</v>
      </c>
      <c r="B133" s="3" t="s">
        <v>199</v>
      </c>
      <c r="C133" s="3" t="s">
        <v>315</v>
      </c>
      <c r="D133" s="2" t="n">
        <v>2024</v>
      </c>
      <c r="E133" s="2" t="n">
        <v>2027</v>
      </c>
      <c r="F133" s="2" t="n">
        <v>3227</v>
      </c>
      <c r="G133" s="2" t="n">
        <v>52</v>
      </c>
      <c r="H133" s="8" t="n">
        <v>16.1140378060118</v>
      </c>
      <c r="I133" s="2" t="n">
        <v>5</v>
      </c>
      <c r="J133" s="2" t="n">
        <v>8</v>
      </c>
      <c r="K133" s="2" t="n">
        <f aca="false">IF(H133&lt;=PERCENTILE($H$2:$H$230,설명!$B$26),1,0)</f>
        <v>0</v>
      </c>
      <c r="L133" s="2" t="n">
        <f aca="false">IF(I133=0,1,0)</f>
        <v>0</v>
      </c>
      <c r="M133" s="2" t="n">
        <f aca="false">L133</f>
        <v>0</v>
      </c>
      <c r="N133" s="9" t="n">
        <v>0.1931</v>
      </c>
      <c r="O133" s="2" t="n">
        <f aca="false">RANK(N133,$N$2:$N$230,0)</f>
        <v>132</v>
      </c>
      <c r="P133" s="2" t="n">
        <f aca="false">IF(O133&lt;=설명!$B$25,1,0)</f>
        <v>0</v>
      </c>
      <c r="Q133" s="2" t="str">
        <f aca="false">IF(AND(M133=1,P133=1),"① 최우선 지원",IF(P133=1,"② 예방 대상",IF(M133=1,"③ 구조적 공백","④ 관찰")))</f>
        <v>④ 관찰</v>
      </c>
      <c r="R133" s="9" t="n">
        <v>0.2403</v>
      </c>
      <c r="S133" s="2" t="n">
        <f aca="false">RANK(R133,$R$2:$R$230,0)</f>
        <v>112</v>
      </c>
    </row>
    <row r="134" customFormat="false" ht="15" hidden="false" customHeight="false" outlineLevel="0" collapsed="false">
      <c r="A134" s="2" t="s">
        <v>316</v>
      </c>
      <c r="B134" s="3" t="s">
        <v>90</v>
      </c>
      <c r="C134" s="3" t="s">
        <v>317</v>
      </c>
      <c r="D134" s="2" t="n">
        <v>2024</v>
      </c>
      <c r="E134" s="2" t="n">
        <v>2027</v>
      </c>
      <c r="F134" s="2" t="n">
        <v>355</v>
      </c>
      <c r="G134" s="2" t="n">
        <v>7</v>
      </c>
      <c r="H134" s="8" t="n">
        <v>19.7183098591549</v>
      </c>
      <c r="I134" s="2" t="n">
        <v>0</v>
      </c>
      <c r="J134" s="2" t="n">
        <v>1</v>
      </c>
      <c r="K134" s="2" t="n">
        <f aca="false">IF(H134&lt;=PERCENTILE($H$2:$H$230,설명!$B$26),1,0)</f>
        <v>0</v>
      </c>
      <c r="L134" s="2" t="n">
        <f aca="false">IF(I134=0,1,0)</f>
        <v>1</v>
      </c>
      <c r="M134" s="2" t="n">
        <f aca="false">L134</f>
        <v>1</v>
      </c>
      <c r="N134" s="9" t="n">
        <v>0.1873</v>
      </c>
      <c r="O134" s="2" t="n">
        <f aca="false">RANK(N134,$N$2:$N$230,0)</f>
        <v>133</v>
      </c>
      <c r="P134" s="2" t="n">
        <f aca="false">IF(O134&lt;=설명!$B$25,1,0)</f>
        <v>0</v>
      </c>
      <c r="Q134" s="2" t="str">
        <f aca="false">IF(AND(M134=1,P134=1),"① 최우선 지원",IF(P134=1,"② 예방 대상",IF(M134=1,"③ 구조적 공백","④ 관찰")))</f>
        <v>③ 구조적 공백</v>
      </c>
      <c r="R134" s="9" t="n">
        <v>0.2105</v>
      </c>
      <c r="S134" s="2" t="n">
        <f aca="false">RANK(R134,$R$2:$R$230,0)</f>
        <v>132</v>
      </c>
    </row>
    <row r="135" customFormat="false" ht="15" hidden="false" customHeight="false" outlineLevel="0" collapsed="false">
      <c r="A135" s="2" t="s">
        <v>318</v>
      </c>
      <c r="B135" s="3" t="s">
        <v>79</v>
      </c>
      <c r="C135" s="3" t="s">
        <v>319</v>
      </c>
      <c r="D135" s="2" t="n">
        <v>2024</v>
      </c>
      <c r="E135" s="2" t="n">
        <v>2027</v>
      </c>
      <c r="F135" s="2" t="n">
        <v>4262</v>
      </c>
      <c r="G135" s="2" t="n">
        <v>58</v>
      </c>
      <c r="H135" s="8" t="n">
        <v>13.608634443923</v>
      </c>
      <c r="I135" s="2" t="n">
        <v>3</v>
      </c>
      <c r="J135" s="2" t="n">
        <v>21</v>
      </c>
      <c r="K135" s="2" t="n">
        <f aca="false">IF(H135&lt;=PERCENTILE($H$2:$H$230,설명!$B$26),1,0)</f>
        <v>1</v>
      </c>
      <c r="L135" s="2" t="n">
        <f aca="false">IF(I135=0,1,0)</f>
        <v>0</v>
      </c>
      <c r="M135" s="2" t="n">
        <f aca="false">L135</f>
        <v>0</v>
      </c>
      <c r="N135" s="9" t="n">
        <v>0.1863</v>
      </c>
      <c r="O135" s="2" t="n">
        <f aca="false">RANK(N135,$N$2:$N$230,0)</f>
        <v>134</v>
      </c>
      <c r="P135" s="2" t="n">
        <f aca="false">IF(O135&lt;=설명!$B$25,1,0)</f>
        <v>0</v>
      </c>
      <c r="Q135" s="2" t="str">
        <f aca="false">IF(AND(M135=1,P135=1),"① 최우선 지원",IF(P135=1,"② 예방 대상",IF(M135=1,"③ 구조적 공백","④ 관찰")))</f>
        <v>④ 관찰</v>
      </c>
      <c r="R135" s="9" t="n">
        <v>0.1952</v>
      </c>
      <c r="S135" s="2" t="n">
        <f aca="false">RANK(R135,$R$2:$R$230,0)</f>
        <v>138</v>
      </c>
    </row>
    <row r="136" customFormat="false" ht="15" hidden="false" customHeight="false" outlineLevel="0" collapsed="false">
      <c r="A136" s="2" t="s">
        <v>320</v>
      </c>
      <c r="B136" s="3" t="s">
        <v>66</v>
      </c>
      <c r="C136" s="3" t="s">
        <v>321</v>
      </c>
      <c r="D136" s="2" t="n">
        <v>2024</v>
      </c>
      <c r="E136" s="2" t="n">
        <v>2027</v>
      </c>
      <c r="F136" s="2" t="n">
        <v>9251</v>
      </c>
      <c r="G136" s="2" t="n">
        <v>195</v>
      </c>
      <c r="H136" s="8" t="n">
        <v>21.0788022916442</v>
      </c>
      <c r="I136" s="2" t="n">
        <v>8</v>
      </c>
      <c r="J136" s="2" t="n">
        <v>30</v>
      </c>
      <c r="K136" s="2" t="n">
        <f aca="false">IF(H136&lt;=PERCENTILE($H$2:$H$230,설명!$B$26),1,0)</f>
        <v>0</v>
      </c>
      <c r="L136" s="2" t="n">
        <f aca="false">IF(I136=0,1,0)</f>
        <v>0</v>
      </c>
      <c r="M136" s="2" t="n">
        <f aca="false">L136</f>
        <v>0</v>
      </c>
      <c r="N136" s="9" t="n">
        <v>0.1813</v>
      </c>
      <c r="O136" s="2" t="n">
        <f aca="false">RANK(N136,$N$2:$N$230,0)</f>
        <v>135</v>
      </c>
      <c r="P136" s="2" t="n">
        <f aca="false">IF(O136&lt;=설명!$B$25,1,0)</f>
        <v>0</v>
      </c>
      <c r="Q136" s="2" t="str">
        <f aca="false">IF(AND(M136=1,P136=1),"① 최우선 지원",IF(P136=1,"② 예방 대상",IF(M136=1,"③ 구조적 공백","④ 관찰")))</f>
        <v>④ 관찰</v>
      </c>
      <c r="R136" s="9" t="n">
        <v>0.1867</v>
      </c>
      <c r="S136" s="2" t="n">
        <f aca="false">RANK(R136,$R$2:$R$230,0)</f>
        <v>141</v>
      </c>
    </row>
    <row r="137" customFormat="false" ht="15" hidden="false" customHeight="false" outlineLevel="0" collapsed="false">
      <c r="A137" s="2" t="s">
        <v>322</v>
      </c>
      <c r="B137" s="3" t="s">
        <v>66</v>
      </c>
      <c r="C137" s="3" t="s">
        <v>323</v>
      </c>
      <c r="D137" s="2" t="n">
        <v>2024</v>
      </c>
      <c r="E137" s="2" t="n">
        <v>2027</v>
      </c>
      <c r="F137" s="2" t="n">
        <v>20168</v>
      </c>
      <c r="G137" s="2" t="n">
        <v>352</v>
      </c>
      <c r="H137" s="8" t="n">
        <v>17.453391511305</v>
      </c>
      <c r="I137" s="2" t="n">
        <v>32</v>
      </c>
      <c r="J137" s="2" t="n">
        <v>76</v>
      </c>
      <c r="K137" s="2" t="n">
        <f aca="false">IF(H137&lt;=PERCENTILE($H$2:$H$230,설명!$B$26),1,0)</f>
        <v>0</v>
      </c>
      <c r="L137" s="2" t="n">
        <f aca="false">IF(I137=0,1,0)</f>
        <v>0</v>
      </c>
      <c r="M137" s="2" t="n">
        <f aca="false">L137</f>
        <v>0</v>
      </c>
      <c r="N137" s="9" t="n">
        <v>0.181</v>
      </c>
      <c r="O137" s="2" t="n">
        <f aca="false">RANK(N137,$N$2:$N$230,0)</f>
        <v>136</v>
      </c>
      <c r="P137" s="2" t="n">
        <f aca="false">IF(O137&lt;=설명!$B$25,1,0)</f>
        <v>0</v>
      </c>
      <c r="Q137" s="2" t="str">
        <f aca="false">IF(AND(M137=1,P137=1),"① 최우선 지원",IF(P137=1,"② 예방 대상",IF(M137=1,"③ 구조적 공백","④ 관찰")))</f>
        <v>④ 관찰</v>
      </c>
      <c r="R137" s="9" t="n">
        <v>0.2329</v>
      </c>
      <c r="S137" s="2" t="n">
        <f aca="false">RANK(R137,$R$2:$R$230,0)</f>
        <v>118</v>
      </c>
    </row>
    <row r="138" customFormat="false" ht="15" hidden="false" customHeight="false" outlineLevel="0" collapsed="false">
      <c r="A138" s="2" t="s">
        <v>324</v>
      </c>
      <c r="B138" s="3" t="s">
        <v>66</v>
      </c>
      <c r="C138" s="3" t="s">
        <v>325</v>
      </c>
      <c r="D138" s="2" t="n">
        <v>2024</v>
      </c>
      <c r="E138" s="2" t="n">
        <v>2027</v>
      </c>
      <c r="F138" s="2" t="n">
        <v>48031</v>
      </c>
      <c r="G138" s="2" t="n">
        <v>723</v>
      </c>
      <c r="H138" s="8" t="n">
        <v>15.052778413941</v>
      </c>
      <c r="I138" s="2" t="n">
        <v>54</v>
      </c>
      <c r="J138" s="2" t="n">
        <v>133</v>
      </c>
      <c r="K138" s="2" t="n">
        <f aca="false">IF(H138&lt;=PERCENTILE($H$2:$H$230,설명!$B$26),1,0)</f>
        <v>1</v>
      </c>
      <c r="L138" s="2" t="n">
        <f aca="false">IF(I138=0,1,0)</f>
        <v>0</v>
      </c>
      <c r="M138" s="2" t="n">
        <f aca="false">L138</f>
        <v>0</v>
      </c>
      <c r="N138" s="9" t="n">
        <v>0.1795</v>
      </c>
      <c r="O138" s="2" t="n">
        <f aca="false">RANK(N138,$N$2:$N$230,0)</f>
        <v>137</v>
      </c>
      <c r="P138" s="2" t="n">
        <f aca="false">IF(O138&lt;=설명!$B$25,1,0)</f>
        <v>0</v>
      </c>
      <c r="Q138" s="2" t="str">
        <f aca="false">IF(AND(M138=1,P138=1),"① 최우선 지원",IF(P138=1,"② 예방 대상",IF(M138=1,"③ 구조적 공백","④ 관찰")))</f>
        <v>④ 관찰</v>
      </c>
      <c r="R138" s="9" t="n">
        <v>0.2087</v>
      </c>
      <c r="S138" s="2" t="n">
        <f aca="false">RANK(R138,$R$2:$R$230,0)</f>
        <v>133</v>
      </c>
    </row>
    <row r="139" customFormat="false" ht="15" hidden="false" customHeight="false" outlineLevel="0" collapsed="false">
      <c r="A139" s="2" t="s">
        <v>326</v>
      </c>
      <c r="B139" s="3" t="s">
        <v>79</v>
      </c>
      <c r="C139" s="3" t="s">
        <v>327</v>
      </c>
      <c r="D139" s="2" t="n">
        <v>2024</v>
      </c>
      <c r="E139" s="2" t="n">
        <v>2027</v>
      </c>
      <c r="F139" s="2" t="n">
        <v>6548</v>
      </c>
      <c r="G139" s="2" t="n">
        <v>79</v>
      </c>
      <c r="H139" s="8" t="n">
        <v>12.0647525962126</v>
      </c>
      <c r="I139" s="2" t="n">
        <v>14</v>
      </c>
      <c r="J139" s="2" t="n">
        <v>28</v>
      </c>
      <c r="K139" s="2" t="n">
        <f aca="false">IF(H139&lt;=PERCENTILE($H$2:$H$230,설명!$B$26),1,0)</f>
        <v>1</v>
      </c>
      <c r="L139" s="2" t="n">
        <f aca="false">IF(I139=0,1,0)</f>
        <v>0</v>
      </c>
      <c r="M139" s="2" t="n">
        <f aca="false">L139</f>
        <v>0</v>
      </c>
      <c r="N139" s="9" t="n">
        <v>0.1783</v>
      </c>
      <c r="O139" s="2" t="n">
        <f aca="false">RANK(N139,$N$2:$N$230,0)</f>
        <v>138</v>
      </c>
      <c r="P139" s="2" t="n">
        <f aca="false">IF(O139&lt;=설명!$B$25,1,0)</f>
        <v>0</v>
      </c>
      <c r="Q139" s="2" t="str">
        <f aca="false">IF(AND(M139=1,P139=1),"① 최우선 지원",IF(P139=1,"② 예방 대상",IF(M139=1,"③ 구조적 공백","④ 관찰")))</f>
        <v>④ 관찰</v>
      </c>
      <c r="R139" s="9" t="n">
        <v>0.1518</v>
      </c>
      <c r="S139" s="2" t="n">
        <f aca="false">RANK(R139,$R$2:$R$230,0)</f>
        <v>159</v>
      </c>
    </row>
    <row r="140" customFormat="false" ht="15" hidden="false" customHeight="false" outlineLevel="0" collapsed="false">
      <c r="A140" s="2" t="s">
        <v>328</v>
      </c>
      <c r="B140" s="3" t="s">
        <v>66</v>
      </c>
      <c r="C140" s="3" t="s">
        <v>329</v>
      </c>
      <c r="D140" s="2" t="n">
        <v>2024</v>
      </c>
      <c r="E140" s="2" t="n">
        <v>2027</v>
      </c>
      <c r="F140" s="2" t="n">
        <v>14778</v>
      </c>
      <c r="G140" s="2" t="n">
        <v>253</v>
      </c>
      <c r="H140" s="8" t="n">
        <v>17.1200433076194</v>
      </c>
      <c r="I140" s="2" t="n">
        <v>19</v>
      </c>
      <c r="J140" s="2" t="n">
        <v>31</v>
      </c>
      <c r="K140" s="2" t="n">
        <f aca="false">IF(H140&lt;=PERCENTILE($H$2:$H$230,설명!$B$26),1,0)</f>
        <v>0</v>
      </c>
      <c r="L140" s="2" t="n">
        <f aca="false">IF(I140=0,1,0)</f>
        <v>0</v>
      </c>
      <c r="M140" s="2" t="n">
        <f aca="false">L140</f>
        <v>0</v>
      </c>
      <c r="N140" s="9" t="n">
        <v>0.1771</v>
      </c>
      <c r="O140" s="2" t="n">
        <f aca="false">RANK(N140,$N$2:$N$230,0)</f>
        <v>139</v>
      </c>
      <c r="P140" s="2" t="n">
        <f aca="false">IF(O140&lt;=설명!$B$25,1,0)</f>
        <v>0</v>
      </c>
      <c r="Q140" s="2" t="str">
        <f aca="false">IF(AND(M140=1,P140=1),"① 최우선 지원",IF(P140=1,"② 예방 대상",IF(M140=1,"③ 구조적 공백","④ 관찰")))</f>
        <v>④ 관찰</v>
      </c>
      <c r="R140" s="9" t="n">
        <v>0.2168</v>
      </c>
      <c r="S140" s="2" t="n">
        <f aca="false">RANK(R140,$R$2:$R$230,0)</f>
        <v>128</v>
      </c>
    </row>
    <row r="141" customFormat="false" ht="15" hidden="false" customHeight="false" outlineLevel="0" collapsed="false">
      <c r="A141" s="2" t="s">
        <v>330</v>
      </c>
      <c r="B141" s="3" t="s">
        <v>135</v>
      </c>
      <c r="C141" s="3" t="s">
        <v>331</v>
      </c>
      <c r="D141" s="2" t="n">
        <v>2024</v>
      </c>
      <c r="E141" s="2" t="n">
        <v>2027</v>
      </c>
      <c r="F141" s="2" t="n">
        <v>13829</v>
      </c>
      <c r="G141" s="2" t="n">
        <v>227</v>
      </c>
      <c r="H141" s="8" t="n">
        <v>16.4147805336612</v>
      </c>
      <c r="I141" s="2" t="n">
        <v>27</v>
      </c>
      <c r="J141" s="2" t="n">
        <v>75</v>
      </c>
      <c r="K141" s="2" t="n">
        <f aca="false">IF(H141&lt;=PERCENTILE($H$2:$H$230,설명!$B$26),1,0)</f>
        <v>0</v>
      </c>
      <c r="L141" s="2" t="n">
        <f aca="false">IF(I141=0,1,0)</f>
        <v>0</v>
      </c>
      <c r="M141" s="2" t="n">
        <f aca="false">L141</f>
        <v>0</v>
      </c>
      <c r="N141" s="9" t="n">
        <v>0.1754</v>
      </c>
      <c r="O141" s="2" t="n">
        <f aca="false">RANK(N141,$N$2:$N$230,0)</f>
        <v>140</v>
      </c>
      <c r="P141" s="2" t="n">
        <f aca="false">IF(O141&lt;=설명!$B$25,1,0)</f>
        <v>0</v>
      </c>
      <c r="Q141" s="2" t="str">
        <f aca="false">IF(AND(M141=1,P141=1),"① 최우선 지원",IF(P141=1,"② 예방 대상",IF(M141=1,"③ 구조적 공백","④ 관찰")))</f>
        <v>④ 관찰</v>
      </c>
      <c r="R141" s="9" t="n">
        <v>0.162</v>
      </c>
      <c r="S141" s="2" t="n">
        <f aca="false">RANK(R141,$R$2:$R$230,0)</f>
        <v>154</v>
      </c>
    </row>
    <row r="142" customFormat="false" ht="15" hidden="false" customHeight="false" outlineLevel="0" collapsed="false">
      <c r="A142" s="2" t="s">
        <v>332</v>
      </c>
      <c r="B142" s="3" t="s">
        <v>113</v>
      </c>
      <c r="C142" s="3" t="s">
        <v>333</v>
      </c>
      <c r="D142" s="2" t="n">
        <v>2024</v>
      </c>
      <c r="E142" s="2" t="n">
        <v>2027</v>
      </c>
      <c r="F142" s="2" t="n">
        <v>6346</v>
      </c>
      <c r="G142" s="2" t="n">
        <v>98</v>
      </c>
      <c r="H142" s="8" t="n">
        <v>15.4427986132997</v>
      </c>
      <c r="I142" s="2" t="n">
        <v>5</v>
      </c>
      <c r="J142" s="2" t="n">
        <v>14</v>
      </c>
      <c r="K142" s="2" t="n">
        <f aca="false">IF(H142&lt;=PERCENTILE($H$2:$H$230,설명!$B$26),1,0)</f>
        <v>0</v>
      </c>
      <c r="L142" s="2" t="n">
        <f aca="false">IF(I142=0,1,0)</f>
        <v>0</v>
      </c>
      <c r="M142" s="2" t="n">
        <f aca="false">L142</f>
        <v>0</v>
      </c>
      <c r="N142" s="9" t="n">
        <v>0.1748</v>
      </c>
      <c r="O142" s="2" t="n">
        <f aca="false">RANK(N142,$N$2:$N$230,0)</f>
        <v>141</v>
      </c>
      <c r="P142" s="2" t="n">
        <f aca="false">IF(O142&lt;=설명!$B$25,1,0)</f>
        <v>0</v>
      </c>
      <c r="Q142" s="2" t="str">
        <f aca="false">IF(AND(M142=1,P142=1),"① 최우선 지원",IF(P142=1,"② 예방 대상",IF(M142=1,"③ 구조적 공백","④ 관찰")))</f>
        <v>④ 관찰</v>
      </c>
      <c r="R142" s="9" t="n">
        <v>0.1672</v>
      </c>
      <c r="S142" s="2" t="n">
        <f aca="false">RANK(R142,$R$2:$R$230,0)</f>
        <v>150</v>
      </c>
    </row>
    <row r="143" customFormat="false" ht="15" hidden="false" customHeight="false" outlineLevel="0" collapsed="false">
      <c r="A143" s="2" t="s">
        <v>334</v>
      </c>
      <c r="B143" s="3" t="s">
        <v>90</v>
      </c>
      <c r="C143" s="3" t="s">
        <v>335</v>
      </c>
      <c r="D143" s="2" t="n">
        <v>2024</v>
      </c>
      <c r="E143" s="2" t="n">
        <v>2027</v>
      </c>
      <c r="F143" s="2" t="n">
        <v>2180</v>
      </c>
      <c r="G143" s="2" t="n">
        <v>16</v>
      </c>
      <c r="H143" s="8" t="n">
        <v>7.3394495412844</v>
      </c>
      <c r="I143" s="2" t="n">
        <v>0</v>
      </c>
      <c r="J143" s="2" t="n">
        <v>3</v>
      </c>
      <c r="K143" s="2" t="n">
        <f aca="false">IF(H143&lt;=PERCENTILE($H$2:$H$230,설명!$B$26),1,0)</f>
        <v>1</v>
      </c>
      <c r="L143" s="2" t="n">
        <f aca="false">IF(I143=0,1,0)</f>
        <v>1</v>
      </c>
      <c r="M143" s="2" t="n">
        <f aca="false">L143</f>
        <v>1</v>
      </c>
      <c r="N143" s="9" t="n">
        <v>0.1741</v>
      </c>
      <c r="O143" s="2" t="n">
        <f aca="false">RANK(N143,$N$2:$N$230,0)</f>
        <v>142</v>
      </c>
      <c r="P143" s="2" t="n">
        <f aca="false">IF(O143&lt;=설명!$B$25,1,0)</f>
        <v>0</v>
      </c>
      <c r="Q143" s="2" t="str">
        <f aca="false">IF(AND(M143=1,P143=1),"① 최우선 지원",IF(P143=1,"② 예방 대상",IF(M143=1,"③ 구조적 공백","④ 관찰")))</f>
        <v>③ 구조적 공백</v>
      </c>
      <c r="R143" s="9" t="n">
        <v>0.1675</v>
      </c>
      <c r="S143" s="2" t="n">
        <f aca="false">RANK(R143,$R$2:$R$230,0)</f>
        <v>149</v>
      </c>
    </row>
    <row r="144" customFormat="false" ht="15" hidden="false" customHeight="false" outlineLevel="0" collapsed="false">
      <c r="A144" s="2" t="s">
        <v>336</v>
      </c>
      <c r="B144" s="3" t="s">
        <v>204</v>
      </c>
      <c r="C144" s="3" t="s">
        <v>337</v>
      </c>
      <c r="D144" s="2" t="n">
        <v>2024</v>
      </c>
      <c r="E144" s="2" t="n">
        <v>2027</v>
      </c>
      <c r="F144" s="2" t="n">
        <v>656</v>
      </c>
      <c r="G144" s="2" t="n">
        <v>11</v>
      </c>
      <c r="H144" s="8" t="n">
        <v>16.7682926829268</v>
      </c>
      <c r="I144" s="2" t="n">
        <v>0</v>
      </c>
      <c r="J144" s="2" t="n">
        <v>1</v>
      </c>
      <c r="K144" s="2" t="n">
        <f aca="false">IF(H144&lt;=PERCENTILE($H$2:$H$230,설명!$B$26),1,0)</f>
        <v>0</v>
      </c>
      <c r="L144" s="2" t="n">
        <f aca="false">IF(I144=0,1,0)</f>
        <v>1</v>
      </c>
      <c r="M144" s="2" t="n">
        <f aca="false">L144</f>
        <v>1</v>
      </c>
      <c r="N144" s="9" t="n">
        <v>0.1717</v>
      </c>
      <c r="O144" s="2" t="n">
        <f aca="false">RANK(N144,$N$2:$N$230,0)</f>
        <v>143</v>
      </c>
      <c r="P144" s="2" t="n">
        <f aca="false">IF(O144&lt;=설명!$B$25,1,0)</f>
        <v>0</v>
      </c>
      <c r="Q144" s="2" t="str">
        <f aca="false">IF(AND(M144=1,P144=1),"① 최우선 지원",IF(P144=1,"② 예방 대상",IF(M144=1,"③ 구조적 공백","④ 관찰")))</f>
        <v>③ 구조적 공백</v>
      </c>
      <c r="R144" s="9" t="n">
        <v>0.2055</v>
      </c>
      <c r="S144" s="2" t="n">
        <f aca="false">RANK(R144,$R$2:$R$230,0)</f>
        <v>135</v>
      </c>
    </row>
    <row r="145" customFormat="false" ht="15" hidden="false" customHeight="false" outlineLevel="0" collapsed="false">
      <c r="A145" s="2" t="s">
        <v>338</v>
      </c>
      <c r="B145" s="3" t="s">
        <v>120</v>
      </c>
      <c r="C145" s="3" t="s">
        <v>339</v>
      </c>
      <c r="D145" s="2" t="n">
        <v>2024</v>
      </c>
      <c r="E145" s="2" t="n">
        <v>2027</v>
      </c>
      <c r="F145" s="2" t="n">
        <v>9721</v>
      </c>
      <c r="G145" s="2" t="n">
        <v>164</v>
      </c>
      <c r="H145" s="8" t="n">
        <v>16.8706923156054</v>
      </c>
      <c r="I145" s="2" t="n">
        <v>16</v>
      </c>
      <c r="J145" s="2" t="n">
        <v>39</v>
      </c>
      <c r="K145" s="2" t="n">
        <f aca="false">IF(H145&lt;=PERCENTILE($H$2:$H$230,설명!$B$26),1,0)</f>
        <v>0</v>
      </c>
      <c r="L145" s="2" t="n">
        <f aca="false">IF(I145=0,1,0)</f>
        <v>0</v>
      </c>
      <c r="M145" s="2" t="n">
        <f aca="false">L145</f>
        <v>0</v>
      </c>
      <c r="N145" s="9" t="n">
        <v>0.1711</v>
      </c>
      <c r="O145" s="2" t="n">
        <f aca="false">RANK(N145,$N$2:$N$230,0)</f>
        <v>144</v>
      </c>
      <c r="P145" s="2" t="n">
        <f aca="false">IF(O145&lt;=설명!$B$25,1,0)</f>
        <v>0</v>
      </c>
      <c r="Q145" s="2" t="str">
        <f aca="false">IF(AND(M145=1,P145=1),"① 최우선 지원",IF(P145=1,"② 예방 대상",IF(M145=1,"③ 구조적 공백","④ 관찰")))</f>
        <v>④ 관찰</v>
      </c>
      <c r="R145" s="9" t="n">
        <v>0.1545</v>
      </c>
      <c r="S145" s="2" t="n">
        <f aca="false">RANK(R145,$R$2:$R$230,0)</f>
        <v>156</v>
      </c>
    </row>
    <row r="146" customFormat="false" ht="15" hidden="false" customHeight="false" outlineLevel="0" collapsed="false">
      <c r="A146" s="2" t="s">
        <v>340</v>
      </c>
      <c r="B146" s="3" t="s">
        <v>66</v>
      </c>
      <c r="C146" s="3" t="s">
        <v>341</v>
      </c>
      <c r="D146" s="2" t="n">
        <v>2024</v>
      </c>
      <c r="E146" s="2" t="n">
        <v>2027</v>
      </c>
      <c r="F146" s="2" t="n">
        <v>5938</v>
      </c>
      <c r="G146" s="2" t="n">
        <v>103</v>
      </c>
      <c r="H146" s="8" t="n">
        <v>17.3459077130347</v>
      </c>
      <c r="I146" s="2" t="n">
        <v>9</v>
      </c>
      <c r="J146" s="2" t="n">
        <v>15</v>
      </c>
      <c r="K146" s="2" t="n">
        <f aca="false">IF(H146&lt;=PERCENTILE($H$2:$H$230,설명!$B$26),1,0)</f>
        <v>0</v>
      </c>
      <c r="L146" s="2" t="n">
        <f aca="false">IF(I146=0,1,0)</f>
        <v>0</v>
      </c>
      <c r="M146" s="2" t="n">
        <f aca="false">L146</f>
        <v>0</v>
      </c>
      <c r="N146" s="9" t="n">
        <v>0.1687</v>
      </c>
      <c r="O146" s="2" t="n">
        <f aca="false">RANK(N146,$N$2:$N$230,0)</f>
        <v>145</v>
      </c>
      <c r="P146" s="2" t="n">
        <f aca="false">IF(O146&lt;=설명!$B$25,1,0)</f>
        <v>0</v>
      </c>
      <c r="Q146" s="2" t="str">
        <f aca="false">IF(AND(M146=1,P146=1),"① 최우선 지원",IF(P146=1,"② 예방 대상",IF(M146=1,"③ 구조적 공백","④ 관찰")))</f>
        <v>④ 관찰</v>
      </c>
      <c r="R146" s="9" t="n">
        <v>0.1842</v>
      </c>
      <c r="S146" s="2" t="n">
        <f aca="false">RANK(R146,$R$2:$R$230,0)</f>
        <v>142</v>
      </c>
    </row>
    <row r="147" customFormat="false" ht="15" hidden="false" customHeight="false" outlineLevel="0" collapsed="false">
      <c r="A147" s="2" t="s">
        <v>342</v>
      </c>
      <c r="B147" s="3" t="s">
        <v>343</v>
      </c>
      <c r="C147" s="3" t="s">
        <v>344</v>
      </c>
      <c r="D147" s="2" t="n">
        <v>2024</v>
      </c>
      <c r="E147" s="2" t="n">
        <v>2027</v>
      </c>
      <c r="F147" s="2" t="n">
        <v>17628</v>
      </c>
      <c r="G147" s="2" t="n">
        <v>292</v>
      </c>
      <c r="H147" s="8" t="n">
        <v>16.5645563875652</v>
      </c>
      <c r="I147" s="2" t="n">
        <v>28</v>
      </c>
      <c r="J147" s="2" t="n">
        <v>59</v>
      </c>
      <c r="K147" s="2" t="n">
        <f aca="false">IF(H147&lt;=PERCENTILE($H$2:$H$230,설명!$B$26),1,0)</f>
        <v>0</v>
      </c>
      <c r="L147" s="2" t="n">
        <f aca="false">IF(I147=0,1,0)</f>
        <v>0</v>
      </c>
      <c r="M147" s="2" t="n">
        <f aca="false">L147</f>
        <v>0</v>
      </c>
      <c r="N147" s="9" t="n">
        <v>0.1686</v>
      </c>
      <c r="O147" s="2" t="n">
        <f aca="false">RANK(N147,$N$2:$N$230,0)</f>
        <v>146</v>
      </c>
      <c r="P147" s="2" t="n">
        <f aca="false">IF(O147&lt;=설명!$B$25,1,0)</f>
        <v>0</v>
      </c>
      <c r="Q147" s="2" t="str">
        <f aca="false">IF(AND(M147=1,P147=1),"① 최우선 지원",IF(P147=1,"② 예방 대상",IF(M147=1,"③ 구조적 공백","④ 관찰")))</f>
        <v>④ 관찰</v>
      </c>
      <c r="R147" s="9" t="n">
        <v>0.1308</v>
      </c>
      <c r="S147" s="2" t="n">
        <f aca="false">RANK(R147,$R$2:$R$230,0)</f>
        <v>171</v>
      </c>
    </row>
    <row r="148" customFormat="false" ht="15" hidden="false" customHeight="false" outlineLevel="0" collapsed="false">
      <c r="A148" s="2" t="s">
        <v>345</v>
      </c>
      <c r="B148" s="3" t="s">
        <v>66</v>
      </c>
      <c r="C148" s="3" t="s">
        <v>346</v>
      </c>
      <c r="D148" s="2" t="n">
        <v>2024</v>
      </c>
      <c r="E148" s="2" t="n">
        <v>2027</v>
      </c>
      <c r="F148" s="2" t="n">
        <v>37373</v>
      </c>
      <c r="G148" s="2" t="n">
        <v>623</v>
      </c>
      <c r="H148" s="8" t="n">
        <v>16.6697883498783</v>
      </c>
      <c r="I148" s="2" t="n">
        <v>56</v>
      </c>
      <c r="J148" s="2" t="n">
        <v>108</v>
      </c>
      <c r="K148" s="2" t="n">
        <f aca="false">IF(H148&lt;=PERCENTILE($H$2:$H$230,설명!$B$26),1,0)</f>
        <v>0</v>
      </c>
      <c r="L148" s="2" t="n">
        <f aca="false">IF(I148=0,1,0)</f>
        <v>0</v>
      </c>
      <c r="M148" s="2" t="n">
        <f aca="false">L148</f>
        <v>0</v>
      </c>
      <c r="N148" s="9" t="n">
        <v>0.1685</v>
      </c>
      <c r="O148" s="2" t="n">
        <f aca="false">RANK(N148,$N$2:$N$230,0)</f>
        <v>147</v>
      </c>
      <c r="P148" s="2" t="n">
        <f aca="false">IF(O148&lt;=설명!$B$25,1,0)</f>
        <v>0</v>
      </c>
      <c r="Q148" s="2" t="str">
        <f aca="false">IF(AND(M148=1,P148=1),"① 최우선 지원",IF(P148=1,"② 예방 대상",IF(M148=1,"③ 구조적 공백","④ 관찰")))</f>
        <v>④ 관찰</v>
      </c>
      <c r="R148" s="9" t="n">
        <v>0.1771</v>
      </c>
      <c r="S148" s="2" t="n">
        <f aca="false">RANK(R148,$R$2:$R$230,0)</f>
        <v>144</v>
      </c>
    </row>
    <row r="149" customFormat="false" ht="15" hidden="false" customHeight="false" outlineLevel="0" collapsed="false">
      <c r="A149" s="2" t="s">
        <v>347</v>
      </c>
      <c r="B149" s="3" t="s">
        <v>199</v>
      </c>
      <c r="C149" s="3" t="s">
        <v>348</v>
      </c>
      <c r="D149" s="2" t="n">
        <v>2024</v>
      </c>
      <c r="E149" s="2" t="n">
        <v>2027</v>
      </c>
      <c r="F149" s="2" t="n">
        <v>5783</v>
      </c>
      <c r="G149" s="2" t="n">
        <v>94</v>
      </c>
      <c r="H149" s="8" t="n">
        <v>16.2545391665226</v>
      </c>
      <c r="I149" s="2" t="n">
        <v>7</v>
      </c>
      <c r="J149" s="2" t="n">
        <v>12</v>
      </c>
      <c r="K149" s="2" t="n">
        <f aca="false">IF(H149&lt;=PERCENTILE($H$2:$H$230,설명!$B$26),1,0)</f>
        <v>0</v>
      </c>
      <c r="L149" s="2" t="n">
        <f aca="false">IF(I149=0,1,0)</f>
        <v>0</v>
      </c>
      <c r="M149" s="2" t="n">
        <f aca="false">L149</f>
        <v>0</v>
      </c>
      <c r="N149" s="9" t="n">
        <v>0.1678</v>
      </c>
      <c r="O149" s="2" t="n">
        <f aca="false">RANK(N149,$N$2:$N$230,0)</f>
        <v>148</v>
      </c>
      <c r="P149" s="2" t="n">
        <f aca="false">IF(O149&lt;=설명!$B$25,1,0)</f>
        <v>0</v>
      </c>
      <c r="Q149" s="2" t="str">
        <f aca="false">IF(AND(M149=1,P149=1),"① 최우선 지원",IF(P149=1,"② 예방 대상",IF(M149=1,"③ 구조적 공백","④ 관찰")))</f>
        <v>④ 관찰</v>
      </c>
      <c r="R149" s="9" t="n">
        <v>0.1883</v>
      </c>
      <c r="S149" s="2" t="n">
        <f aca="false">RANK(R149,$R$2:$R$230,0)</f>
        <v>140</v>
      </c>
    </row>
    <row r="150" customFormat="false" ht="15" hidden="false" customHeight="false" outlineLevel="0" collapsed="false">
      <c r="A150" s="2" t="s">
        <v>349</v>
      </c>
      <c r="B150" s="3" t="s">
        <v>120</v>
      </c>
      <c r="C150" s="3" t="s">
        <v>350</v>
      </c>
      <c r="D150" s="2" t="n">
        <v>2024</v>
      </c>
      <c r="E150" s="2" t="n">
        <v>2027</v>
      </c>
      <c r="F150" s="2" t="n">
        <v>5785</v>
      </c>
      <c r="G150" s="2" t="n">
        <v>94</v>
      </c>
      <c r="H150" s="8" t="n">
        <v>16.2489196197061</v>
      </c>
      <c r="I150" s="2" t="n">
        <v>9</v>
      </c>
      <c r="J150" s="2" t="n">
        <v>32</v>
      </c>
      <c r="K150" s="2" t="n">
        <f aca="false">IF(H150&lt;=PERCENTILE($H$2:$H$230,설명!$B$26),1,0)</f>
        <v>0</v>
      </c>
      <c r="L150" s="2" t="n">
        <f aca="false">IF(I150=0,1,0)</f>
        <v>0</v>
      </c>
      <c r="M150" s="2" t="n">
        <f aca="false">L150</f>
        <v>0</v>
      </c>
      <c r="N150" s="9" t="n">
        <v>0.1659</v>
      </c>
      <c r="O150" s="2" t="n">
        <f aca="false">RANK(N150,$N$2:$N$230,0)</f>
        <v>149</v>
      </c>
      <c r="P150" s="2" t="n">
        <f aca="false">IF(O150&lt;=설명!$B$25,1,0)</f>
        <v>0</v>
      </c>
      <c r="Q150" s="2" t="str">
        <f aca="false">IF(AND(M150=1,P150=1),"① 최우선 지원",IF(P150=1,"② 예방 대상",IF(M150=1,"③ 구조적 공백","④ 관찰")))</f>
        <v>④ 관찰</v>
      </c>
      <c r="R150" s="9" t="n">
        <v>0.1725</v>
      </c>
      <c r="S150" s="2" t="n">
        <f aca="false">RANK(R150,$R$2:$R$230,0)</f>
        <v>147</v>
      </c>
    </row>
    <row r="151" customFormat="false" ht="15" hidden="false" customHeight="false" outlineLevel="0" collapsed="false">
      <c r="A151" s="2" t="s">
        <v>351</v>
      </c>
      <c r="B151" s="3" t="s">
        <v>79</v>
      </c>
      <c r="C151" s="3" t="s">
        <v>114</v>
      </c>
      <c r="D151" s="2" t="n">
        <v>2024</v>
      </c>
      <c r="E151" s="2" t="n">
        <v>2027</v>
      </c>
      <c r="F151" s="2" t="n">
        <v>2110</v>
      </c>
      <c r="G151" s="2" t="n">
        <v>28</v>
      </c>
      <c r="H151" s="8" t="n">
        <v>13.2701421800948</v>
      </c>
      <c r="I151" s="2" t="n">
        <v>1</v>
      </c>
      <c r="J151" s="2" t="n">
        <v>21</v>
      </c>
      <c r="K151" s="2" t="n">
        <f aca="false">IF(H151&lt;=PERCENTILE($H$2:$H$230,설명!$B$26),1,0)</f>
        <v>1</v>
      </c>
      <c r="L151" s="2" t="n">
        <f aca="false">IF(I151=0,1,0)</f>
        <v>0</v>
      </c>
      <c r="M151" s="2" t="n">
        <f aca="false">L151</f>
        <v>0</v>
      </c>
      <c r="N151" s="9" t="n">
        <v>0.1655</v>
      </c>
      <c r="O151" s="2" t="n">
        <f aca="false">RANK(N151,$N$2:$N$230,0)</f>
        <v>150</v>
      </c>
      <c r="P151" s="2" t="n">
        <f aca="false">IF(O151&lt;=설명!$B$25,1,0)</f>
        <v>0</v>
      </c>
      <c r="Q151" s="2" t="str">
        <f aca="false">IF(AND(M151=1,P151=1),"① 최우선 지원",IF(P151=1,"② 예방 대상",IF(M151=1,"③ 구조적 공백","④ 관찰")))</f>
        <v>④ 관찰</v>
      </c>
      <c r="R151" s="9" t="n">
        <v>0.173</v>
      </c>
      <c r="S151" s="2" t="n">
        <f aca="false">RANK(R151,$R$2:$R$230,0)</f>
        <v>146</v>
      </c>
    </row>
    <row r="152" customFormat="false" ht="15" hidden="false" customHeight="false" outlineLevel="0" collapsed="false">
      <c r="A152" s="2" t="s">
        <v>352</v>
      </c>
      <c r="B152" s="3" t="s">
        <v>71</v>
      </c>
      <c r="C152" s="3" t="s">
        <v>353</v>
      </c>
      <c r="D152" s="2" t="n">
        <v>2024</v>
      </c>
      <c r="E152" s="2" t="n">
        <v>2027</v>
      </c>
      <c r="F152" s="2" t="n">
        <v>14722</v>
      </c>
      <c r="G152" s="2" t="n">
        <v>250</v>
      </c>
      <c r="H152" s="8" t="n">
        <v>16.9813883983155</v>
      </c>
      <c r="I152" s="2" t="n">
        <v>24</v>
      </c>
      <c r="J152" s="2" t="n">
        <v>48</v>
      </c>
      <c r="K152" s="2" t="n">
        <f aca="false">IF(H152&lt;=PERCENTILE($H$2:$H$230,설명!$B$26),1,0)</f>
        <v>0</v>
      </c>
      <c r="L152" s="2" t="n">
        <f aca="false">IF(I152=0,1,0)</f>
        <v>0</v>
      </c>
      <c r="M152" s="2" t="n">
        <f aca="false">L152</f>
        <v>0</v>
      </c>
      <c r="N152" s="9" t="n">
        <v>0.1652</v>
      </c>
      <c r="O152" s="2" t="n">
        <f aca="false">RANK(N152,$N$2:$N$230,0)</f>
        <v>151</v>
      </c>
      <c r="P152" s="2" t="n">
        <f aca="false">IF(O152&lt;=설명!$B$25,1,0)</f>
        <v>0</v>
      </c>
      <c r="Q152" s="2" t="str">
        <f aca="false">IF(AND(M152=1,P152=1),"① 최우선 지원",IF(P152=1,"② 예방 대상",IF(M152=1,"③ 구조적 공백","④ 관찰")))</f>
        <v>④ 관찰</v>
      </c>
      <c r="R152" s="9" t="n">
        <v>0.1114</v>
      </c>
      <c r="S152" s="2" t="n">
        <f aca="false">RANK(R152,$R$2:$R$230,0)</f>
        <v>183</v>
      </c>
    </row>
    <row r="153" customFormat="false" ht="15" hidden="false" customHeight="false" outlineLevel="0" collapsed="false">
      <c r="A153" s="2" t="s">
        <v>354</v>
      </c>
      <c r="B153" s="3" t="s">
        <v>135</v>
      </c>
      <c r="C153" s="3" t="s">
        <v>355</v>
      </c>
      <c r="D153" s="2" t="n">
        <v>2024</v>
      </c>
      <c r="E153" s="2" t="n">
        <v>2027</v>
      </c>
      <c r="F153" s="2" t="n">
        <v>291</v>
      </c>
      <c r="G153" s="2" t="n">
        <v>4</v>
      </c>
      <c r="H153" s="8" t="n">
        <v>13.745704467354</v>
      </c>
      <c r="I153" s="2" t="n">
        <v>0</v>
      </c>
      <c r="J153" s="2" t="n">
        <v>0</v>
      </c>
      <c r="K153" s="2" t="n">
        <f aca="false">IF(H153&lt;=PERCENTILE($H$2:$H$230,설명!$B$26),1,0)</f>
        <v>1</v>
      </c>
      <c r="L153" s="2" t="n">
        <f aca="false">IF(I153=0,1,0)</f>
        <v>1</v>
      </c>
      <c r="M153" s="2" t="n">
        <f aca="false">L153</f>
        <v>1</v>
      </c>
      <c r="N153" s="9" t="n">
        <v>0.1633</v>
      </c>
      <c r="O153" s="2" t="n">
        <f aca="false">RANK(N153,$N$2:$N$230,0)</f>
        <v>152</v>
      </c>
      <c r="P153" s="2" t="n">
        <f aca="false">IF(O153&lt;=설명!$B$25,1,0)</f>
        <v>0</v>
      </c>
      <c r="Q153" s="2" t="str">
        <f aca="false">IF(AND(M153=1,P153=1),"① 최우선 지원",IF(P153=1,"② 예방 대상",IF(M153=1,"③ 구조적 공백","④ 관찰")))</f>
        <v>③ 구조적 공백</v>
      </c>
      <c r="R153" s="9" t="n">
        <v>0.1714</v>
      </c>
      <c r="S153" s="2" t="n">
        <f aca="false">RANK(R153,$R$2:$R$230,0)</f>
        <v>148</v>
      </c>
    </row>
    <row r="154" customFormat="false" ht="15" hidden="false" customHeight="false" outlineLevel="0" collapsed="false">
      <c r="A154" s="2" t="s">
        <v>356</v>
      </c>
      <c r="B154" s="3" t="s">
        <v>63</v>
      </c>
      <c r="C154" s="3" t="s">
        <v>357</v>
      </c>
      <c r="D154" s="2" t="n">
        <v>2024</v>
      </c>
      <c r="E154" s="2" t="n">
        <v>2027</v>
      </c>
      <c r="F154" s="2" t="n">
        <v>1826</v>
      </c>
      <c r="G154" s="2" t="n">
        <v>24</v>
      </c>
      <c r="H154" s="8" t="n">
        <v>13.1434830230011</v>
      </c>
      <c r="I154" s="2" t="n">
        <v>0</v>
      </c>
      <c r="J154" s="2" t="n">
        <v>0</v>
      </c>
      <c r="K154" s="2" t="n">
        <f aca="false">IF(H154&lt;=PERCENTILE($H$2:$H$230,설명!$B$26),1,0)</f>
        <v>1</v>
      </c>
      <c r="L154" s="2" t="n">
        <f aca="false">IF(I154=0,1,0)</f>
        <v>1</v>
      </c>
      <c r="M154" s="2" t="n">
        <f aca="false">L154</f>
        <v>1</v>
      </c>
      <c r="N154" s="9" t="n">
        <v>0.1603</v>
      </c>
      <c r="O154" s="2" t="n">
        <f aca="false">RANK(N154,$N$2:$N$230,0)</f>
        <v>153</v>
      </c>
      <c r="P154" s="2" t="n">
        <f aca="false">IF(O154&lt;=설명!$B$25,1,0)</f>
        <v>0</v>
      </c>
      <c r="Q154" s="2" t="str">
        <f aca="false">IF(AND(M154=1,P154=1),"① 최우선 지원",IF(P154=1,"② 예방 대상",IF(M154=1,"③ 구조적 공백","④ 관찰")))</f>
        <v>③ 구조적 공백</v>
      </c>
      <c r="R154" s="9" t="n">
        <v>0.1666</v>
      </c>
      <c r="S154" s="2" t="n">
        <f aca="false">RANK(R154,$R$2:$R$230,0)</f>
        <v>151</v>
      </c>
    </row>
    <row r="155" customFormat="false" ht="15" hidden="false" customHeight="false" outlineLevel="0" collapsed="false">
      <c r="A155" s="2" t="s">
        <v>358</v>
      </c>
      <c r="B155" s="3" t="s">
        <v>199</v>
      </c>
      <c r="C155" s="3" t="s">
        <v>359</v>
      </c>
      <c r="D155" s="2" t="n">
        <v>2024</v>
      </c>
      <c r="E155" s="2" t="n">
        <v>2027</v>
      </c>
      <c r="F155" s="2" t="n">
        <v>456</v>
      </c>
      <c r="G155" s="2" t="n">
        <v>7</v>
      </c>
      <c r="H155" s="8" t="n">
        <v>15.3508771929825</v>
      </c>
      <c r="I155" s="2" t="n">
        <v>0</v>
      </c>
      <c r="J155" s="2" t="n">
        <v>1</v>
      </c>
      <c r="K155" s="2" t="n">
        <f aca="false">IF(H155&lt;=PERCENTILE($H$2:$H$230,설명!$B$26),1,0)</f>
        <v>0</v>
      </c>
      <c r="L155" s="2" t="n">
        <f aca="false">IF(I155=0,1,0)</f>
        <v>1</v>
      </c>
      <c r="M155" s="2" t="n">
        <f aca="false">L155</f>
        <v>1</v>
      </c>
      <c r="N155" s="9" t="n">
        <v>0.1598</v>
      </c>
      <c r="O155" s="2" t="n">
        <f aca="false">RANK(N155,$N$2:$N$230,0)</f>
        <v>154</v>
      </c>
      <c r="P155" s="2" t="n">
        <f aca="false">IF(O155&lt;=설명!$B$25,1,0)</f>
        <v>0</v>
      </c>
      <c r="Q155" s="2" t="str">
        <f aca="false">IF(AND(M155=1,P155=1),"① 최우선 지원",IF(P155=1,"② 예방 대상",IF(M155=1,"③ 구조적 공백","④ 관찰")))</f>
        <v>③ 구조적 공백</v>
      </c>
      <c r="R155" s="9" t="n">
        <v>0.2159</v>
      </c>
      <c r="S155" s="2" t="n">
        <f aca="false">RANK(R155,$R$2:$R$230,0)</f>
        <v>130</v>
      </c>
    </row>
    <row r="156" customFormat="false" ht="15" hidden="false" customHeight="false" outlineLevel="0" collapsed="false">
      <c r="A156" s="2" t="s">
        <v>360</v>
      </c>
      <c r="B156" s="3" t="s">
        <v>90</v>
      </c>
      <c r="C156" s="3" t="s">
        <v>361</v>
      </c>
      <c r="D156" s="2" t="n">
        <v>2024</v>
      </c>
      <c r="E156" s="2" t="n">
        <v>2027</v>
      </c>
      <c r="F156" s="2" t="n">
        <v>7820</v>
      </c>
      <c r="G156" s="2" t="n">
        <v>119</v>
      </c>
      <c r="H156" s="8" t="n">
        <v>15.2173913043478</v>
      </c>
      <c r="I156" s="2" t="n">
        <v>6</v>
      </c>
      <c r="J156" s="2" t="n">
        <v>20</v>
      </c>
      <c r="K156" s="2" t="n">
        <f aca="false">IF(H156&lt;=PERCENTILE($H$2:$H$230,설명!$B$26),1,0)</f>
        <v>1</v>
      </c>
      <c r="L156" s="2" t="n">
        <f aca="false">IF(I156=0,1,0)</f>
        <v>0</v>
      </c>
      <c r="M156" s="2" t="n">
        <f aca="false">L156</f>
        <v>0</v>
      </c>
      <c r="N156" s="9" t="n">
        <v>0.1533</v>
      </c>
      <c r="O156" s="2" t="n">
        <f aca="false">RANK(N156,$N$2:$N$230,0)</f>
        <v>155</v>
      </c>
      <c r="P156" s="2" t="n">
        <f aca="false">IF(O156&lt;=설명!$B$25,1,0)</f>
        <v>0</v>
      </c>
      <c r="Q156" s="2" t="str">
        <f aca="false">IF(AND(M156=1,P156=1),"① 최우선 지원",IF(P156=1,"② 예방 대상",IF(M156=1,"③ 구조적 공백","④ 관찰")))</f>
        <v>④ 관찰</v>
      </c>
      <c r="R156" s="9" t="n">
        <v>0.1349</v>
      </c>
      <c r="S156" s="2" t="n">
        <f aca="false">RANK(R156,$R$2:$R$230,0)</f>
        <v>169</v>
      </c>
    </row>
    <row r="157" customFormat="false" ht="15" hidden="false" customHeight="false" outlineLevel="0" collapsed="false">
      <c r="A157" s="2" t="s">
        <v>362</v>
      </c>
      <c r="B157" s="3" t="s">
        <v>71</v>
      </c>
      <c r="C157" s="3" t="s">
        <v>104</v>
      </c>
      <c r="D157" s="2" t="n">
        <v>2024</v>
      </c>
      <c r="E157" s="2" t="n">
        <v>2027</v>
      </c>
      <c r="F157" s="2" t="n">
        <v>6709</v>
      </c>
      <c r="G157" s="2" t="n">
        <v>107</v>
      </c>
      <c r="H157" s="8" t="n">
        <v>15.9487255924877</v>
      </c>
      <c r="I157" s="2" t="n">
        <v>6</v>
      </c>
      <c r="J157" s="2" t="n">
        <v>42</v>
      </c>
      <c r="K157" s="2" t="n">
        <f aca="false">IF(H157&lt;=PERCENTILE($H$2:$H$230,설명!$B$26),1,0)</f>
        <v>0</v>
      </c>
      <c r="L157" s="2" t="n">
        <f aca="false">IF(I157=0,1,0)</f>
        <v>0</v>
      </c>
      <c r="M157" s="2" t="n">
        <f aca="false">L157</f>
        <v>0</v>
      </c>
      <c r="N157" s="9" t="n">
        <v>0.1532</v>
      </c>
      <c r="O157" s="2" t="n">
        <f aca="false">RANK(N157,$N$2:$N$230,0)</f>
        <v>156</v>
      </c>
      <c r="P157" s="2" t="n">
        <f aca="false">IF(O157&lt;=설명!$B$25,1,0)</f>
        <v>0</v>
      </c>
      <c r="Q157" s="2" t="str">
        <f aca="false">IF(AND(M157=1,P157=1),"① 최우선 지원",IF(P157=1,"② 예방 대상",IF(M157=1,"③ 구조적 공백","④ 관찰")))</f>
        <v>④ 관찰</v>
      </c>
      <c r="R157" s="9" t="n">
        <v>0.1126</v>
      </c>
      <c r="S157" s="2" t="n">
        <f aca="false">RANK(R157,$R$2:$R$230,0)</f>
        <v>181</v>
      </c>
    </row>
    <row r="158" customFormat="false" ht="15" hidden="false" customHeight="false" outlineLevel="0" collapsed="false">
      <c r="A158" s="2" t="s">
        <v>363</v>
      </c>
      <c r="B158" s="3" t="s">
        <v>204</v>
      </c>
      <c r="C158" s="3" t="s">
        <v>364</v>
      </c>
      <c r="D158" s="2" t="n">
        <v>2024</v>
      </c>
      <c r="E158" s="2" t="n">
        <v>2027</v>
      </c>
      <c r="F158" s="2" t="n">
        <v>713</v>
      </c>
      <c r="G158" s="2" t="n">
        <v>11</v>
      </c>
      <c r="H158" s="8" t="n">
        <v>15.4277699859748</v>
      </c>
      <c r="I158" s="2" t="n">
        <v>1</v>
      </c>
      <c r="J158" s="2" t="n">
        <v>2</v>
      </c>
      <c r="K158" s="2" t="n">
        <f aca="false">IF(H158&lt;=PERCENTILE($H$2:$H$230,설명!$B$26),1,0)</f>
        <v>0</v>
      </c>
      <c r="L158" s="2" t="n">
        <f aca="false">IF(I158=0,1,0)</f>
        <v>0</v>
      </c>
      <c r="M158" s="2" t="n">
        <f aca="false">L158</f>
        <v>0</v>
      </c>
      <c r="N158" s="9" t="n">
        <v>0.1489</v>
      </c>
      <c r="O158" s="2" t="n">
        <f aca="false">RANK(N158,$N$2:$N$230,0)</f>
        <v>157</v>
      </c>
      <c r="P158" s="2" t="n">
        <f aca="false">IF(O158&lt;=설명!$B$25,1,0)</f>
        <v>0</v>
      </c>
      <c r="Q158" s="2" t="str">
        <f aca="false">IF(AND(M158=1,P158=1),"① 최우선 지원",IF(P158=1,"② 예방 대상",IF(M158=1,"③ 구조적 공백","④ 관찰")))</f>
        <v>④ 관찰</v>
      </c>
      <c r="R158" s="9" t="n">
        <v>0.1757</v>
      </c>
      <c r="S158" s="2" t="n">
        <f aca="false">RANK(R158,$R$2:$R$230,0)</f>
        <v>145</v>
      </c>
    </row>
    <row r="159" customFormat="false" ht="15" hidden="false" customHeight="false" outlineLevel="0" collapsed="false">
      <c r="A159" s="2" t="s">
        <v>365</v>
      </c>
      <c r="B159" s="3" t="s">
        <v>135</v>
      </c>
      <c r="C159" s="3" t="s">
        <v>226</v>
      </c>
      <c r="D159" s="2" t="n">
        <v>2024</v>
      </c>
      <c r="E159" s="2" t="n">
        <v>2027</v>
      </c>
      <c r="F159" s="2" t="n">
        <v>2801</v>
      </c>
      <c r="G159" s="2" t="n">
        <v>44</v>
      </c>
      <c r="H159" s="8" t="n">
        <v>15.7086754730453</v>
      </c>
      <c r="I159" s="2" t="n">
        <v>5</v>
      </c>
      <c r="J159" s="2" t="n">
        <v>47</v>
      </c>
      <c r="K159" s="2" t="n">
        <f aca="false">IF(H159&lt;=PERCENTILE($H$2:$H$230,설명!$B$26),1,0)</f>
        <v>0</v>
      </c>
      <c r="L159" s="2" t="n">
        <f aca="false">IF(I159=0,1,0)</f>
        <v>0</v>
      </c>
      <c r="M159" s="2" t="n">
        <f aca="false">L159</f>
        <v>0</v>
      </c>
      <c r="N159" s="9" t="n">
        <v>0.1468</v>
      </c>
      <c r="O159" s="2" t="n">
        <f aca="false">RANK(N159,$N$2:$N$230,0)</f>
        <v>158</v>
      </c>
      <c r="P159" s="2" t="n">
        <f aca="false">IF(O159&lt;=설명!$B$25,1,0)</f>
        <v>0</v>
      </c>
      <c r="Q159" s="2" t="str">
        <f aca="false">IF(AND(M159=1,P159=1),"① 최우선 지원",IF(P159=1,"② 예방 대상",IF(M159=1,"③ 구조적 공백","④ 관찰")))</f>
        <v>④ 관찰</v>
      </c>
      <c r="R159" s="9" t="n">
        <v>0.1396</v>
      </c>
      <c r="S159" s="2" t="n">
        <f aca="false">RANK(R159,$R$2:$R$230,0)</f>
        <v>165</v>
      </c>
    </row>
    <row r="160" customFormat="false" ht="15" hidden="false" customHeight="false" outlineLevel="0" collapsed="false">
      <c r="A160" s="2" t="s">
        <v>366</v>
      </c>
      <c r="B160" s="3" t="s">
        <v>120</v>
      </c>
      <c r="C160" s="3" t="s">
        <v>367</v>
      </c>
      <c r="D160" s="2" t="n">
        <v>2024</v>
      </c>
      <c r="E160" s="2" t="n">
        <v>2027</v>
      </c>
      <c r="F160" s="2" t="n">
        <v>11406</v>
      </c>
      <c r="G160" s="2" t="n">
        <v>194</v>
      </c>
      <c r="H160" s="8" t="n">
        <v>17.0085919691391</v>
      </c>
      <c r="I160" s="2" t="n">
        <v>22</v>
      </c>
      <c r="J160" s="2" t="n">
        <v>51</v>
      </c>
      <c r="K160" s="2" t="n">
        <f aca="false">IF(H160&lt;=PERCENTILE($H$2:$H$230,설명!$B$26),1,0)</f>
        <v>0</v>
      </c>
      <c r="L160" s="2" t="n">
        <f aca="false">IF(I160=0,1,0)</f>
        <v>0</v>
      </c>
      <c r="M160" s="2" t="n">
        <f aca="false">L160</f>
        <v>0</v>
      </c>
      <c r="N160" s="9" t="n">
        <v>0.1418</v>
      </c>
      <c r="O160" s="2" t="n">
        <f aca="false">RANK(N160,$N$2:$N$230,0)</f>
        <v>159</v>
      </c>
      <c r="P160" s="2" t="n">
        <f aca="false">IF(O160&lt;=설명!$B$25,1,0)</f>
        <v>0</v>
      </c>
      <c r="Q160" s="2" t="str">
        <f aca="false">IF(AND(M160=1,P160=1),"① 최우선 지원",IF(P160=1,"② 예방 대상",IF(M160=1,"③ 구조적 공백","④ 관찰")))</f>
        <v>④ 관찰</v>
      </c>
      <c r="R160" s="9" t="n">
        <v>0.1386</v>
      </c>
      <c r="S160" s="2" t="n">
        <f aca="false">RANK(R160,$R$2:$R$230,0)</f>
        <v>166</v>
      </c>
    </row>
    <row r="161" customFormat="false" ht="15" hidden="false" customHeight="false" outlineLevel="0" collapsed="false">
      <c r="A161" s="2" t="s">
        <v>368</v>
      </c>
      <c r="B161" s="3" t="s">
        <v>76</v>
      </c>
      <c r="C161" s="3" t="s">
        <v>369</v>
      </c>
      <c r="D161" s="2" t="n">
        <v>2024</v>
      </c>
      <c r="E161" s="2" t="n">
        <v>2027</v>
      </c>
      <c r="F161" s="2" t="n">
        <v>596</v>
      </c>
      <c r="G161" s="2" t="n">
        <v>9</v>
      </c>
      <c r="H161" s="8" t="n">
        <v>15.1006711409396</v>
      </c>
      <c r="I161" s="2" t="n">
        <v>0</v>
      </c>
      <c r="J161" s="2" t="n">
        <v>1</v>
      </c>
      <c r="K161" s="2" t="n">
        <f aca="false">IF(H161&lt;=PERCENTILE($H$2:$H$230,설명!$B$26),1,0)</f>
        <v>1</v>
      </c>
      <c r="L161" s="2" t="n">
        <f aca="false">IF(I161=0,1,0)</f>
        <v>1</v>
      </c>
      <c r="M161" s="2" t="n">
        <f aca="false">L161</f>
        <v>1</v>
      </c>
      <c r="N161" s="9" t="n">
        <v>0.1418</v>
      </c>
      <c r="O161" s="2" t="n">
        <f aca="false">RANK(N161,$N$2:$N$230,0)</f>
        <v>159</v>
      </c>
      <c r="P161" s="2" t="n">
        <f aca="false">IF(O161&lt;=설명!$B$25,1,0)</f>
        <v>0</v>
      </c>
      <c r="Q161" s="2" t="str">
        <f aca="false">IF(AND(M161=1,P161=1),"① 최우선 지원",IF(P161=1,"② 예방 대상",IF(M161=1,"③ 구조적 공백","④ 관찰")))</f>
        <v>③ 구조적 공백</v>
      </c>
      <c r="R161" s="9" t="n">
        <v>0.1233</v>
      </c>
      <c r="S161" s="2" t="n">
        <f aca="false">RANK(R161,$R$2:$R$230,0)</f>
        <v>174</v>
      </c>
    </row>
    <row r="162" customFormat="false" ht="15" hidden="false" customHeight="false" outlineLevel="0" collapsed="false">
      <c r="A162" s="2" t="s">
        <v>370</v>
      </c>
      <c r="B162" s="3" t="s">
        <v>54</v>
      </c>
      <c r="C162" s="3" t="s">
        <v>371</v>
      </c>
      <c r="D162" s="2" t="n">
        <v>2024</v>
      </c>
      <c r="E162" s="2" t="n">
        <v>2027</v>
      </c>
      <c r="F162" s="2" t="n">
        <v>405</v>
      </c>
      <c r="G162" s="2" t="n">
        <v>6</v>
      </c>
      <c r="H162" s="8" t="n">
        <v>14.8148148148148</v>
      </c>
      <c r="I162" s="2" t="n">
        <v>0</v>
      </c>
      <c r="J162" s="2" t="n">
        <v>0</v>
      </c>
      <c r="K162" s="2" t="n">
        <f aca="false">IF(H162&lt;=PERCENTILE($H$2:$H$230,설명!$B$26),1,0)</f>
        <v>1</v>
      </c>
      <c r="L162" s="2" t="n">
        <f aca="false">IF(I162=0,1,0)</f>
        <v>1</v>
      </c>
      <c r="M162" s="2" t="n">
        <f aca="false">L162</f>
        <v>1</v>
      </c>
      <c r="N162" s="9" t="n">
        <v>0.1411</v>
      </c>
      <c r="O162" s="2" t="n">
        <f aca="false">RANK(N162,$N$2:$N$230,0)</f>
        <v>161</v>
      </c>
      <c r="P162" s="2" t="n">
        <f aca="false">IF(O162&lt;=설명!$B$25,1,0)</f>
        <v>0</v>
      </c>
      <c r="Q162" s="2" t="str">
        <f aca="false">IF(AND(M162=1,P162=1),"① 최우선 지원",IF(P162=1,"② 예방 대상",IF(M162=1,"③ 구조적 공백","④ 관찰")))</f>
        <v>③ 구조적 공백</v>
      </c>
      <c r="R162" s="9" t="n">
        <v>0.161</v>
      </c>
      <c r="S162" s="2" t="n">
        <f aca="false">RANK(R162,$R$2:$R$230,0)</f>
        <v>155</v>
      </c>
    </row>
    <row r="163" customFormat="false" ht="15" hidden="false" customHeight="false" outlineLevel="0" collapsed="false">
      <c r="A163" s="2" t="s">
        <v>372</v>
      </c>
      <c r="B163" s="3" t="s">
        <v>54</v>
      </c>
      <c r="C163" s="3" t="s">
        <v>373</v>
      </c>
      <c r="D163" s="2" t="n">
        <v>2024</v>
      </c>
      <c r="E163" s="2" t="n">
        <v>2027</v>
      </c>
      <c r="F163" s="2" t="n">
        <v>550</v>
      </c>
      <c r="G163" s="2" t="n">
        <v>9</v>
      </c>
      <c r="H163" s="8" t="n">
        <v>16.3636363636364</v>
      </c>
      <c r="I163" s="2" t="n">
        <v>0</v>
      </c>
      <c r="J163" s="2" t="n">
        <v>1</v>
      </c>
      <c r="K163" s="2" t="n">
        <f aca="false">IF(H163&lt;=PERCENTILE($H$2:$H$230,설명!$B$26),1,0)</f>
        <v>0</v>
      </c>
      <c r="L163" s="2" t="n">
        <f aca="false">IF(I163=0,1,0)</f>
        <v>1</v>
      </c>
      <c r="M163" s="2" t="n">
        <f aca="false">L163</f>
        <v>1</v>
      </c>
      <c r="N163" s="9" t="n">
        <v>0.1411</v>
      </c>
      <c r="O163" s="2" t="n">
        <f aca="false">RANK(N163,$N$2:$N$230,0)</f>
        <v>161</v>
      </c>
      <c r="P163" s="2" t="n">
        <f aca="false">IF(O163&lt;=설명!$B$25,1,0)</f>
        <v>0</v>
      </c>
      <c r="Q163" s="2" t="str">
        <f aca="false">IF(AND(M163=1,P163=1),"① 최우선 지원",IF(P163=1,"② 예방 대상",IF(M163=1,"③ 구조적 공백","④ 관찰")))</f>
        <v>③ 구조적 공백</v>
      </c>
      <c r="R163" s="9" t="n">
        <v>0.149</v>
      </c>
      <c r="S163" s="2" t="n">
        <f aca="false">RANK(R163,$R$2:$R$230,0)</f>
        <v>160</v>
      </c>
    </row>
    <row r="164" customFormat="false" ht="15" hidden="false" customHeight="false" outlineLevel="0" collapsed="false">
      <c r="A164" s="2" t="s">
        <v>374</v>
      </c>
      <c r="B164" s="3" t="s">
        <v>199</v>
      </c>
      <c r="C164" s="3" t="s">
        <v>375</v>
      </c>
      <c r="D164" s="2" t="n">
        <v>2024</v>
      </c>
      <c r="E164" s="2" t="n">
        <v>2027</v>
      </c>
      <c r="F164" s="2" t="n">
        <v>685</v>
      </c>
      <c r="G164" s="2" t="n">
        <v>16</v>
      </c>
      <c r="H164" s="8" t="n">
        <v>23.3576642335766</v>
      </c>
      <c r="I164" s="2" t="n">
        <v>0</v>
      </c>
      <c r="J164" s="2" t="n">
        <v>1</v>
      </c>
      <c r="K164" s="2" t="n">
        <f aca="false">IF(H164&lt;=PERCENTILE($H$2:$H$230,설명!$B$26),1,0)</f>
        <v>0</v>
      </c>
      <c r="L164" s="2" t="n">
        <f aca="false">IF(I164=0,1,0)</f>
        <v>1</v>
      </c>
      <c r="M164" s="2" t="n">
        <f aca="false">L164</f>
        <v>1</v>
      </c>
      <c r="N164" s="9" t="n">
        <v>0.1408</v>
      </c>
      <c r="O164" s="2" t="n">
        <f aca="false">RANK(N164,$N$2:$N$230,0)</f>
        <v>163</v>
      </c>
      <c r="P164" s="2" t="n">
        <f aca="false">IF(O164&lt;=설명!$B$25,1,0)</f>
        <v>0</v>
      </c>
      <c r="Q164" s="2" t="str">
        <f aca="false">IF(AND(M164=1,P164=1),"① 최우선 지원",IF(P164=1,"② 예방 대상",IF(M164=1,"③ 구조적 공백","④ 관찰")))</f>
        <v>③ 구조적 공백</v>
      </c>
      <c r="R164" s="9" t="n">
        <v>0.1476</v>
      </c>
      <c r="S164" s="2" t="n">
        <f aca="false">RANK(R164,$R$2:$R$230,0)</f>
        <v>162</v>
      </c>
    </row>
    <row r="165" customFormat="false" ht="15" hidden="false" customHeight="false" outlineLevel="0" collapsed="false">
      <c r="A165" s="2" t="s">
        <v>376</v>
      </c>
      <c r="B165" s="3" t="s">
        <v>71</v>
      </c>
      <c r="C165" s="3" t="s">
        <v>94</v>
      </c>
      <c r="D165" s="2" t="n">
        <v>2024</v>
      </c>
      <c r="E165" s="2" t="n">
        <v>2027</v>
      </c>
      <c r="F165" s="2" t="n">
        <v>28289</v>
      </c>
      <c r="G165" s="2" t="n">
        <v>412</v>
      </c>
      <c r="H165" s="8" t="n">
        <v>14.5639647919686</v>
      </c>
      <c r="I165" s="2" t="n">
        <v>30</v>
      </c>
      <c r="J165" s="2" t="n">
        <v>83</v>
      </c>
      <c r="K165" s="2" t="n">
        <f aca="false">IF(H165&lt;=PERCENTILE($H$2:$H$230,설명!$B$26),1,0)</f>
        <v>1</v>
      </c>
      <c r="L165" s="2" t="n">
        <f aca="false">IF(I165=0,1,0)</f>
        <v>0</v>
      </c>
      <c r="M165" s="2" t="n">
        <f aca="false">L165</f>
        <v>0</v>
      </c>
      <c r="N165" s="9" t="n">
        <v>0.1389</v>
      </c>
      <c r="O165" s="2" t="n">
        <f aca="false">RANK(N165,$N$2:$N$230,0)</f>
        <v>164</v>
      </c>
      <c r="P165" s="2" t="n">
        <f aca="false">IF(O165&lt;=설명!$B$25,1,0)</f>
        <v>0</v>
      </c>
      <c r="Q165" s="2" t="str">
        <f aca="false">IF(AND(M165=1,P165=1),"① 최우선 지원",IF(P165=1,"② 예방 대상",IF(M165=1,"③ 구조적 공백","④ 관찰")))</f>
        <v>④ 관찰</v>
      </c>
      <c r="R165" s="9" t="n">
        <v>0.0819</v>
      </c>
      <c r="S165" s="2" t="n">
        <f aca="false">RANK(R165,$R$2:$R$230,0)</f>
        <v>203</v>
      </c>
    </row>
    <row r="166" customFormat="false" ht="15" hidden="false" customHeight="false" outlineLevel="0" collapsed="false">
      <c r="A166" s="2" t="s">
        <v>377</v>
      </c>
      <c r="B166" s="3" t="s">
        <v>63</v>
      </c>
      <c r="C166" s="3" t="s">
        <v>378</v>
      </c>
      <c r="D166" s="2" t="n">
        <v>2024</v>
      </c>
      <c r="E166" s="2" t="n">
        <v>2027</v>
      </c>
      <c r="F166" s="2" t="n">
        <v>845</v>
      </c>
      <c r="G166" s="2" t="n">
        <v>18</v>
      </c>
      <c r="H166" s="8" t="n">
        <v>21.301775147929</v>
      </c>
      <c r="I166" s="2" t="n">
        <v>1</v>
      </c>
      <c r="J166" s="2" t="n">
        <v>1</v>
      </c>
      <c r="K166" s="2" t="n">
        <f aca="false">IF(H166&lt;=PERCENTILE($H$2:$H$230,설명!$B$26),1,0)</f>
        <v>0</v>
      </c>
      <c r="L166" s="2" t="n">
        <f aca="false">IF(I166=0,1,0)</f>
        <v>0</v>
      </c>
      <c r="M166" s="2" t="n">
        <f aca="false">L166</f>
        <v>0</v>
      </c>
      <c r="N166" s="9" t="n">
        <v>0.1388</v>
      </c>
      <c r="O166" s="2" t="n">
        <f aca="false">RANK(N166,$N$2:$N$230,0)</f>
        <v>165</v>
      </c>
      <c r="P166" s="2" t="n">
        <f aca="false">IF(O166&lt;=설명!$B$25,1,0)</f>
        <v>0</v>
      </c>
      <c r="Q166" s="2" t="str">
        <f aca="false">IF(AND(M166=1,P166=1),"① 최우선 지원",IF(P166=1,"② 예방 대상",IF(M166=1,"③ 구조적 공백","④ 관찰")))</f>
        <v>④ 관찰</v>
      </c>
      <c r="R166" s="9" t="n">
        <v>0.1525</v>
      </c>
      <c r="S166" s="2" t="n">
        <f aca="false">RANK(R166,$R$2:$R$230,0)</f>
        <v>158</v>
      </c>
    </row>
    <row r="167" customFormat="false" ht="15" hidden="false" customHeight="false" outlineLevel="0" collapsed="false">
      <c r="A167" s="2" t="s">
        <v>379</v>
      </c>
      <c r="B167" s="3" t="s">
        <v>90</v>
      </c>
      <c r="C167" s="3" t="s">
        <v>380</v>
      </c>
      <c r="D167" s="2" t="n">
        <v>2024</v>
      </c>
      <c r="E167" s="2" t="n">
        <v>2027</v>
      </c>
      <c r="F167" s="2" t="n">
        <v>940</v>
      </c>
      <c r="G167" s="2" t="n">
        <v>13</v>
      </c>
      <c r="H167" s="8" t="n">
        <v>13.8297872340426</v>
      </c>
      <c r="I167" s="2" t="n">
        <v>0</v>
      </c>
      <c r="J167" s="2" t="n">
        <v>2</v>
      </c>
      <c r="K167" s="2" t="n">
        <f aca="false">IF(H167&lt;=PERCENTILE($H$2:$H$230,설명!$B$26),1,0)</f>
        <v>1</v>
      </c>
      <c r="L167" s="2" t="n">
        <f aca="false">IF(I167=0,1,0)</f>
        <v>1</v>
      </c>
      <c r="M167" s="2" t="n">
        <f aca="false">L167</f>
        <v>1</v>
      </c>
      <c r="N167" s="9" t="n">
        <v>0.1355</v>
      </c>
      <c r="O167" s="2" t="n">
        <f aca="false">RANK(N167,$N$2:$N$230,0)</f>
        <v>166</v>
      </c>
      <c r="P167" s="2" t="n">
        <f aca="false">IF(O167&lt;=설명!$B$25,1,0)</f>
        <v>0</v>
      </c>
      <c r="Q167" s="2" t="str">
        <f aca="false">IF(AND(M167=1,P167=1),"① 최우선 지원",IF(P167=1,"② 예방 대상",IF(M167=1,"③ 구조적 공백","④ 관찰")))</f>
        <v>③ 구조적 공백</v>
      </c>
      <c r="R167" s="9" t="n">
        <v>0.1319</v>
      </c>
      <c r="S167" s="2" t="n">
        <f aca="false">RANK(R167,$R$2:$R$230,0)</f>
        <v>170</v>
      </c>
    </row>
    <row r="168" customFormat="false" ht="15" hidden="false" customHeight="false" outlineLevel="0" collapsed="false">
      <c r="A168" s="2" t="s">
        <v>381</v>
      </c>
      <c r="B168" s="3" t="s">
        <v>63</v>
      </c>
      <c r="C168" s="3" t="s">
        <v>382</v>
      </c>
      <c r="D168" s="2" t="n">
        <v>2024</v>
      </c>
      <c r="E168" s="2" t="n">
        <v>2027</v>
      </c>
      <c r="F168" s="2" t="n">
        <v>830</v>
      </c>
      <c r="G168" s="2" t="n">
        <v>21</v>
      </c>
      <c r="H168" s="8" t="n">
        <v>25.3012048192771</v>
      </c>
      <c r="I168" s="2" t="n">
        <v>1</v>
      </c>
      <c r="J168" s="2" t="n">
        <v>2</v>
      </c>
      <c r="K168" s="2" t="n">
        <f aca="false">IF(H168&lt;=PERCENTILE($H$2:$H$230,설명!$B$26),1,0)</f>
        <v>0</v>
      </c>
      <c r="L168" s="2" t="n">
        <f aca="false">IF(I168=0,1,0)</f>
        <v>0</v>
      </c>
      <c r="M168" s="2" t="n">
        <f aca="false">L168</f>
        <v>0</v>
      </c>
      <c r="N168" s="9" t="n">
        <v>0.1345</v>
      </c>
      <c r="O168" s="2" t="n">
        <f aca="false">RANK(N168,$N$2:$N$230,0)</f>
        <v>167</v>
      </c>
      <c r="P168" s="2" t="n">
        <f aca="false">IF(O168&lt;=설명!$B$25,1,0)</f>
        <v>0</v>
      </c>
      <c r="Q168" s="2" t="str">
        <f aca="false">IF(AND(M168=1,P168=1),"① 최우선 지원",IF(P168=1,"② 예방 대상",IF(M168=1,"③ 구조적 공백","④ 관찰")))</f>
        <v>④ 관찰</v>
      </c>
      <c r="R168" s="9" t="n">
        <v>0.1658</v>
      </c>
      <c r="S168" s="2" t="n">
        <f aca="false">RANK(R168,$R$2:$R$230,0)</f>
        <v>152</v>
      </c>
    </row>
    <row r="169" customFormat="false" ht="15" hidden="false" customHeight="false" outlineLevel="0" collapsed="false">
      <c r="A169" s="2" t="s">
        <v>383</v>
      </c>
      <c r="B169" s="3" t="s">
        <v>153</v>
      </c>
      <c r="C169" s="3" t="s">
        <v>384</v>
      </c>
      <c r="D169" s="2" t="n">
        <v>2024</v>
      </c>
      <c r="E169" s="2" t="n">
        <v>2027</v>
      </c>
      <c r="F169" s="2" t="n">
        <v>376</v>
      </c>
      <c r="G169" s="2" t="n">
        <v>6</v>
      </c>
      <c r="H169" s="8" t="n">
        <v>15.9574468085106</v>
      </c>
      <c r="I169" s="2" t="n">
        <v>0</v>
      </c>
      <c r="J169" s="2" t="n">
        <v>2</v>
      </c>
      <c r="K169" s="2" t="n">
        <f aca="false">IF(H169&lt;=PERCENTILE($H$2:$H$230,설명!$B$26),1,0)</f>
        <v>0</v>
      </c>
      <c r="L169" s="2" t="n">
        <f aca="false">IF(I169=0,1,0)</f>
        <v>1</v>
      </c>
      <c r="M169" s="2" t="n">
        <f aca="false">L169</f>
        <v>1</v>
      </c>
      <c r="N169" s="9" t="n">
        <v>0.1331</v>
      </c>
      <c r="O169" s="2" t="n">
        <f aca="false">RANK(N169,$N$2:$N$230,0)</f>
        <v>168</v>
      </c>
      <c r="P169" s="2" t="n">
        <f aca="false">IF(O169&lt;=설명!$B$25,1,0)</f>
        <v>0</v>
      </c>
      <c r="Q169" s="2" t="str">
        <f aca="false">IF(AND(M169=1,P169=1),"① 최우선 지원",IF(P169=1,"② 예방 대상",IF(M169=1,"③ 구조적 공백","④ 관찰")))</f>
        <v>③ 구조적 공백</v>
      </c>
      <c r="R169" s="9" t="n">
        <v>0.153</v>
      </c>
      <c r="S169" s="2" t="n">
        <f aca="false">RANK(R169,$R$2:$R$230,0)</f>
        <v>157</v>
      </c>
    </row>
    <row r="170" customFormat="false" ht="15" hidden="false" customHeight="false" outlineLevel="0" collapsed="false">
      <c r="A170" s="2" t="s">
        <v>385</v>
      </c>
      <c r="B170" s="3" t="s">
        <v>90</v>
      </c>
      <c r="C170" s="3" t="s">
        <v>386</v>
      </c>
      <c r="D170" s="2" t="n">
        <v>2024</v>
      </c>
      <c r="E170" s="2" t="n">
        <v>2027</v>
      </c>
      <c r="F170" s="2" t="n">
        <v>707</v>
      </c>
      <c r="G170" s="2" t="n">
        <v>12</v>
      </c>
      <c r="H170" s="8" t="n">
        <v>16.973125884017</v>
      </c>
      <c r="I170" s="2" t="n">
        <v>0</v>
      </c>
      <c r="J170" s="2" t="n">
        <v>1</v>
      </c>
      <c r="K170" s="2" t="n">
        <f aca="false">IF(H170&lt;=PERCENTILE($H$2:$H$230,설명!$B$26),1,0)</f>
        <v>0</v>
      </c>
      <c r="L170" s="2" t="n">
        <f aca="false">IF(I170=0,1,0)</f>
        <v>1</v>
      </c>
      <c r="M170" s="2" t="n">
        <f aca="false">L170</f>
        <v>1</v>
      </c>
      <c r="N170" s="9" t="n">
        <v>0.1327</v>
      </c>
      <c r="O170" s="2" t="n">
        <f aca="false">RANK(N170,$N$2:$N$230,0)</f>
        <v>169</v>
      </c>
      <c r="P170" s="2" t="n">
        <f aca="false">IF(O170&lt;=설명!$B$25,1,0)</f>
        <v>0</v>
      </c>
      <c r="Q170" s="2" t="str">
        <f aca="false">IF(AND(M170=1,P170=1),"① 최우선 지원",IF(P170=1,"② 예방 대상",IF(M170=1,"③ 구조적 공백","④ 관찰")))</f>
        <v>③ 구조적 공백</v>
      </c>
      <c r="R170" s="9" t="n">
        <v>0.119</v>
      </c>
      <c r="S170" s="2" t="n">
        <f aca="false">RANK(R170,$R$2:$R$230,0)</f>
        <v>176</v>
      </c>
    </row>
    <row r="171" customFormat="false" ht="15" hidden="false" customHeight="false" outlineLevel="0" collapsed="false">
      <c r="A171" s="2" t="s">
        <v>387</v>
      </c>
      <c r="B171" s="3" t="s">
        <v>204</v>
      </c>
      <c r="C171" s="3" t="s">
        <v>388</v>
      </c>
      <c r="D171" s="2" t="n">
        <v>2024</v>
      </c>
      <c r="E171" s="2" t="n">
        <v>2027</v>
      </c>
      <c r="F171" s="2" t="n">
        <v>1361</v>
      </c>
      <c r="G171" s="2" t="n">
        <v>22</v>
      </c>
      <c r="H171" s="8" t="n">
        <v>16.1645848640705</v>
      </c>
      <c r="I171" s="2" t="n">
        <v>0</v>
      </c>
      <c r="J171" s="2" t="n">
        <v>1</v>
      </c>
      <c r="K171" s="2" t="n">
        <f aca="false">IF(H171&lt;=PERCENTILE($H$2:$H$230,설명!$B$26),1,0)</f>
        <v>0</v>
      </c>
      <c r="L171" s="2" t="n">
        <f aca="false">IF(I171=0,1,0)</f>
        <v>1</v>
      </c>
      <c r="M171" s="2" t="n">
        <f aca="false">L171</f>
        <v>1</v>
      </c>
      <c r="N171" s="9" t="n">
        <v>0.131</v>
      </c>
      <c r="O171" s="2" t="n">
        <f aca="false">RANK(N171,$N$2:$N$230,0)</f>
        <v>170</v>
      </c>
      <c r="P171" s="2" t="n">
        <f aca="false">IF(O171&lt;=설명!$B$25,1,0)</f>
        <v>0</v>
      </c>
      <c r="Q171" s="2" t="str">
        <f aca="false">IF(AND(M171=1,P171=1),"① 최우선 지원",IF(P171=1,"② 예방 대상",IF(M171=1,"③ 구조적 공백","④ 관찰")))</f>
        <v>③ 구조적 공백</v>
      </c>
      <c r="R171" s="9" t="n">
        <v>0.1654</v>
      </c>
      <c r="S171" s="2" t="n">
        <f aca="false">RANK(R171,$R$2:$R$230,0)</f>
        <v>153</v>
      </c>
    </row>
    <row r="172" customFormat="false" ht="15" hidden="false" customHeight="false" outlineLevel="0" collapsed="false">
      <c r="A172" s="2" t="s">
        <v>389</v>
      </c>
      <c r="B172" s="3" t="s">
        <v>204</v>
      </c>
      <c r="C172" s="3" t="s">
        <v>390</v>
      </c>
      <c r="D172" s="2" t="n">
        <v>2024</v>
      </c>
      <c r="E172" s="2" t="n">
        <v>2027</v>
      </c>
      <c r="F172" s="2" t="n">
        <v>5536</v>
      </c>
      <c r="G172" s="2" t="n">
        <v>98</v>
      </c>
      <c r="H172" s="8" t="n">
        <v>17.7023121387283</v>
      </c>
      <c r="I172" s="2" t="n">
        <v>10</v>
      </c>
      <c r="J172" s="2" t="n">
        <v>26</v>
      </c>
      <c r="K172" s="2" t="n">
        <f aca="false">IF(H172&lt;=PERCENTILE($H$2:$H$230,설명!$B$26),1,0)</f>
        <v>0</v>
      </c>
      <c r="L172" s="2" t="n">
        <f aca="false">IF(I172=0,1,0)</f>
        <v>0</v>
      </c>
      <c r="M172" s="2" t="n">
        <f aca="false">L172</f>
        <v>0</v>
      </c>
      <c r="N172" s="9" t="n">
        <v>0.1298</v>
      </c>
      <c r="O172" s="2" t="n">
        <f aca="false">RANK(N172,$N$2:$N$230,0)</f>
        <v>171</v>
      </c>
      <c r="P172" s="2" t="n">
        <f aca="false">IF(O172&lt;=설명!$B$25,1,0)</f>
        <v>0</v>
      </c>
      <c r="Q172" s="2" t="str">
        <f aca="false">IF(AND(M172=1,P172=1),"① 최우선 지원",IF(P172=1,"② 예방 대상",IF(M172=1,"③ 구조적 공백","④ 관찰")))</f>
        <v>④ 관찰</v>
      </c>
      <c r="R172" s="9" t="n">
        <v>0.1838</v>
      </c>
      <c r="S172" s="2" t="n">
        <f aca="false">RANK(R172,$R$2:$R$230,0)</f>
        <v>143</v>
      </c>
    </row>
    <row r="173" customFormat="false" ht="15" hidden="false" customHeight="false" outlineLevel="0" collapsed="false">
      <c r="A173" s="2" t="s">
        <v>391</v>
      </c>
      <c r="B173" s="3" t="s">
        <v>90</v>
      </c>
      <c r="C173" s="3" t="s">
        <v>392</v>
      </c>
      <c r="D173" s="2" t="n">
        <v>2024</v>
      </c>
      <c r="E173" s="2" t="n">
        <v>2027</v>
      </c>
      <c r="F173" s="2" t="n">
        <v>351</v>
      </c>
      <c r="G173" s="2" t="n">
        <v>10</v>
      </c>
      <c r="H173" s="8" t="n">
        <v>28.4900284900285</v>
      </c>
      <c r="I173" s="2" t="n">
        <v>0</v>
      </c>
      <c r="J173" s="2" t="n">
        <v>1</v>
      </c>
      <c r="K173" s="2" t="n">
        <f aca="false">IF(H173&lt;=PERCENTILE($H$2:$H$230,설명!$B$26),1,0)</f>
        <v>0</v>
      </c>
      <c r="L173" s="2" t="n">
        <f aca="false">IF(I173=0,1,0)</f>
        <v>1</v>
      </c>
      <c r="M173" s="2" t="n">
        <f aca="false">L173</f>
        <v>1</v>
      </c>
      <c r="N173" s="9" t="n">
        <v>0.1287</v>
      </c>
      <c r="O173" s="2" t="n">
        <f aca="false">RANK(N173,$N$2:$N$230,0)</f>
        <v>172</v>
      </c>
      <c r="P173" s="2" t="n">
        <f aca="false">IF(O173&lt;=설명!$B$25,1,0)</f>
        <v>0</v>
      </c>
      <c r="Q173" s="2" t="str">
        <f aca="false">IF(AND(M173=1,P173=1),"① 최우선 지원",IF(P173=1,"② 예방 대상",IF(M173=1,"③ 구조적 공백","④ 관찰")))</f>
        <v>③ 구조적 공백</v>
      </c>
      <c r="R173" s="9" t="n">
        <v>0.1115</v>
      </c>
      <c r="S173" s="2" t="n">
        <f aca="false">RANK(R173,$R$2:$R$230,0)</f>
        <v>182</v>
      </c>
    </row>
    <row r="174" customFormat="false" ht="15" hidden="false" customHeight="false" outlineLevel="0" collapsed="false">
      <c r="A174" s="2" t="s">
        <v>393</v>
      </c>
      <c r="B174" s="3" t="s">
        <v>204</v>
      </c>
      <c r="C174" s="3" t="s">
        <v>394</v>
      </c>
      <c r="D174" s="2" t="n">
        <v>2024</v>
      </c>
      <c r="E174" s="2" t="n">
        <v>2027</v>
      </c>
      <c r="F174" s="2" t="n">
        <v>13017</v>
      </c>
      <c r="G174" s="2" t="n">
        <v>218</v>
      </c>
      <c r="H174" s="8" t="n">
        <v>16.7473304140739</v>
      </c>
      <c r="I174" s="2" t="n">
        <v>20</v>
      </c>
      <c r="J174" s="2" t="n">
        <v>46</v>
      </c>
      <c r="K174" s="2" t="n">
        <f aca="false">IF(H174&lt;=PERCENTILE($H$2:$H$230,설명!$B$26),1,0)</f>
        <v>0</v>
      </c>
      <c r="L174" s="2" t="n">
        <f aca="false">IF(I174=0,1,0)</f>
        <v>0</v>
      </c>
      <c r="M174" s="2" t="n">
        <f aca="false">L174</f>
        <v>0</v>
      </c>
      <c r="N174" s="9" t="n">
        <v>0.1286</v>
      </c>
      <c r="O174" s="2" t="n">
        <f aca="false">RANK(N174,$N$2:$N$230,0)</f>
        <v>173</v>
      </c>
      <c r="P174" s="2" t="n">
        <f aca="false">IF(O174&lt;=설명!$B$25,1,0)</f>
        <v>0</v>
      </c>
      <c r="Q174" s="2" t="str">
        <f aca="false">IF(AND(M174=1,P174=1),"① 최우선 지원",IF(P174=1,"② 예방 대상",IF(M174=1,"③ 구조적 공백","④ 관찰")))</f>
        <v>④ 관찰</v>
      </c>
      <c r="R174" s="9" t="n">
        <v>0.1302</v>
      </c>
      <c r="S174" s="2" t="n">
        <f aca="false">RANK(R174,$R$2:$R$230,0)</f>
        <v>172</v>
      </c>
    </row>
    <row r="175" customFormat="false" ht="15" hidden="false" customHeight="false" outlineLevel="0" collapsed="false">
      <c r="A175" s="2" t="s">
        <v>395</v>
      </c>
      <c r="B175" s="3" t="s">
        <v>66</v>
      </c>
      <c r="C175" s="3" t="s">
        <v>396</v>
      </c>
      <c r="D175" s="2" t="n">
        <v>2024</v>
      </c>
      <c r="E175" s="2" t="n">
        <v>2027</v>
      </c>
      <c r="F175" s="2" t="n">
        <v>33789</v>
      </c>
      <c r="G175" s="2" t="n">
        <v>548</v>
      </c>
      <c r="H175" s="8" t="n">
        <v>16.2182958951138</v>
      </c>
      <c r="I175" s="2" t="n">
        <v>55</v>
      </c>
      <c r="J175" s="2" t="n">
        <v>152</v>
      </c>
      <c r="K175" s="2" t="n">
        <f aca="false">IF(H175&lt;=PERCENTILE($H$2:$H$230,설명!$B$26),1,0)</f>
        <v>0</v>
      </c>
      <c r="L175" s="2" t="n">
        <f aca="false">IF(I175=0,1,0)</f>
        <v>0</v>
      </c>
      <c r="M175" s="2" t="n">
        <f aca="false">L175</f>
        <v>0</v>
      </c>
      <c r="N175" s="9" t="n">
        <v>0.1222</v>
      </c>
      <c r="O175" s="2" t="n">
        <f aca="false">RANK(N175,$N$2:$N$230,0)</f>
        <v>174</v>
      </c>
      <c r="P175" s="2" t="n">
        <f aca="false">IF(O175&lt;=설명!$B$25,1,0)</f>
        <v>0</v>
      </c>
      <c r="Q175" s="2" t="str">
        <f aca="false">IF(AND(M175=1,P175=1),"① 최우선 지원",IF(P175=1,"② 예방 대상",IF(M175=1,"③ 구조적 공백","④ 관찰")))</f>
        <v>④ 관찰</v>
      </c>
      <c r="R175" s="9" t="n">
        <v>0.1443</v>
      </c>
      <c r="S175" s="2" t="n">
        <f aca="false">RANK(R175,$R$2:$R$230,0)</f>
        <v>164</v>
      </c>
    </row>
    <row r="176" customFormat="false" ht="15" hidden="false" customHeight="false" outlineLevel="0" collapsed="false">
      <c r="A176" s="2" t="s">
        <v>397</v>
      </c>
      <c r="B176" s="3" t="s">
        <v>343</v>
      </c>
      <c r="C176" s="3" t="s">
        <v>398</v>
      </c>
      <c r="D176" s="2" t="n">
        <v>2024</v>
      </c>
      <c r="E176" s="2" t="n">
        <v>2027</v>
      </c>
      <c r="F176" s="2" t="n">
        <v>5493</v>
      </c>
      <c r="G176" s="2" t="n">
        <v>107</v>
      </c>
      <c r="H176" s="8" t="n">
        <v>19.4793373384307</v>
      </c>
      <c r="I176" s="2" t="n">
        <v>7</v>
      </c>
      <c r="J176" s="2" t="n">
        <v>12</v>
      </c>
      <c r="K176" s="2" t="n">
        <f aca="false">IF(H176&lt;=PERCENTILE($H$2:$H$230,설명!$B$26),1,0)</f>
        <v>0</v>
      </c>
      <c r="L176" s="2" t="n">
        <f aca="false">IF(I176=0,1,0)</f>
        <v>0</v>
      </c>
      <c r="M176" s="2" t="n">
        <f aca="false">L176</f>
        <v>0</v>
      </c>
      <c r="N176" s="9" t="n">
        <v>0.1182</v>
      </c>
      <c r="O176" s="2" t="n">
        <f aca="false">RANK(N176,$N$2:$N$230,0)</f>
        <v>175</v>
      </c>
      <c r="P176" s="2" t="n">
        <f aca="false">IF(O176&lt;=설명!$B$25,1,0)</f>
        <v>0</v>
      </c>
      <c r="Q176" s="2" t="str">
        <f aca="false">IF(AND(M176=1,P176=1),"① 최우선 지원",IF(P176=1,"② 예방 대상",IF(M176=1,"③ 구조적 공백","④ 관찰")))</f>
        <v>④ 관찰</v>
      </c>
      <c r="R176" s="9" t="n">
        <v>0.1449</v>
      </c>
      <c r="S176" s="2" t="n">
        <f aca="false">RANK(R176,$R$2:$R$230,0)</f>
        <v>163</v>
      </c>
    </row>
    <row r="177" customFormat="false" ht="15" hidden="false" customHeight="false" outlineLevel="0" collapsed="false">
      <c r="A177" s="2" t="s">
        <v>399</v>
      </c>
      <c r="B177" s="3" t="s">
        <v>93</v>
      </c>
      <c r="C177" s="3" t="s">
        <v>114</v>
      </c>
      <c r="D177" s="2" t="n">
        <v>2024</v>
      </c>
      <c r="E177" s="2" t="n">
        <v>2027</v>
      </c>
      <c r="F177" s="2" t="n">
        <v>3863</v>
      </c>
      <c r="G177" s="2" t="n">
        <v>52</v>
      </c>
      <c r="H177" s="8" t="n">
        <v>13.4610406419881</v>
      </c>
      <c r="I177" s="2" t="n">
        <v>7</v>
      </c>
      <c r="J177" s="2" t="n">
        <v>39</v>
      </c>
      <c r="K177" s="2" t="n">
        <f aca="false">IF(H177&lt;=PERCENTILE($H$2:$H$230,설명!$B$26),1,0)</f>
        <v>1</v>
      </c>
      <c r="L177" s="2" t="n">
        <f aca="false">IF(I177=0,1,0)</f>
        <v>0</v>
      </c>
      <c r="M177" s="2" t="n">
        <f aca="false">L177</f>
        <v>0</v>
      </c>
      <c r="N177" s="9" t="n">
        <v>0.1179</v>
      </c>
      <c r="O177" s="2" t="n">
        <f aca="false">RANK(N177,$N$2:$N$230,0)</f>
        <v>176</v>
      </c>
      <c r="P177" s="2" t="n">
        <f aca="false">IF(O177&lt;=설명!$B$25,1,0)</f>
        <v>0</v>
      </c>
      <c r="Q177" s="2" t="str">
        <f aca="false">IF(AND(M177=1,P177=1),"① 최우선 지원",IF(P177=1,"② 예방 대상",IF(M177=1,"③ 구조적 공백","④ 관찰")))</f>
        <v>④ 관찰</v>
      </c>
      <c r="R177" s="9" t="n">
        <v>0.13</v>
      </c>
      <c r="S177" s="2" t="n">
        <f aca="false">RANK(R177,$R$2:$R$230,0)</f>
        <v>173</v>
      </c>
    </row>
    <row r="178" customFormat="false" ht="15" hidden="false" customHeight="false" outlineLevel="0" collapsed="false">
      <c r="A178" s="2" t="s">
        <v>400</v>
      </c>
      <c r="B178" s="3" t="s">
        <v>90</v>
      </c>
      <c r="C178" s="3" t="s">
        <v>401</v>
      </c>
      <c r="D178" s="2" t="n">
        <v>2024</v>
      </c>
      <c r="E178" s="2" t="n">
        <v>2027</v>
      </c>
      <c r="F178" s="2" t="n">
        <v>3574</v>
      </c>
      <c r="G178" s="2" t="n">
        <v>53</v>
      </c>
      <c r="H178" s="8" t="n">
        <v>14.829322887521</v>
      </c>
      <c r="I178" s="2" t="n">
        <v>1</v>
      </c>
      <c r="J178" s="2" t="n">
        <v>9</v>
      </c>
      <c r="K178" s="2" t="n">
        <f aca="false">IF(H178&lt;=PERCENTILE($H$2:$H$230,설명!$B$26),1,0)</f>
        <v>1</v>
      </c>
      <c r="L178" s="2" t="n">
        <f aca="false">IF(I178=0,1,0)</f>
        <v>0</v>
      </c>
      <c r="M178" s="2" t="n">
        <f aca="false">L178</f>
        <v>0</v>
      </c>
      <c r="N178" s="9" t="n">
        <v>0.1129</v>
      </c>
      <c r="O178" s="2" t="n">
        <f aca="false">RANK(N178,$N$2:$N$230,0)</f>
        <v>177</v>
      </c>
      <c r="P178" s="2" t="n">
        <f aca="false">IF(O178&lt;=설명!$B$25,1,0)</f>
        <v>0</v>
      </c>
      <c r="Q178" s="2" t="str">
        <f aca="false">IF(AND(M178=1,P178=1),"① 최우선 지원",IF(P178=1,"② 예방 대상",IF(M178=1,"③ 구조적 공백","④ 관찰")))</f>
        <v>④ 관찰</v>
      </c>
      <c r="R178" s="9" t="n">
        <v>0.0905</v>
      </c>
      <c r="S178" s="2" t="n">
        <f aca="false">RANK(R178,$R$2:$R$230,0)</f>
        <v>195</v>
      </c>
    </row>
    <row r="179" customFormat="false" ht="15" hidden="false" customHeight="false" outlineLevel="0" collapsed="false">
      <c r="A179" s="2" t="s">
        <v>402</v>
      </c>
      <c r="B179" s="3" t="s">
        <v>204</v>
      </c>
      <c r="C179" s="3" t="s">
        <v>403</v>
      </c>
      <c r="D179" s="2" t="n">
        <v>2024</v>
      </c>
      <c r="E179" s="2" t="n">
        <v>2027</v>
      </c>
      <c r="F179" s="2" t="n">
        <v>883</v>
      </c>
      <c r="G179" s="2" t="n">
        <v>21</v>
      </c>
      <c r="H179" s="8" t="n">
        <v>23.7825594563986</v>
      </c>
      <c r="I179" s="2" t="n">
        <v>1</v>
      </c>
      <c r="J179" s="2" t="n">
        <v>3</v>
      </c>
      <c r="K179" s="2" t="n">
        <f aca="false">IF(H179&lt;=PERCENTILE($H$2:$H$230,설명!$B$26),1,0)</f>
        <v>0</v>
      </c>
      <c r="L179" s="2" t="n">
        <f aca="false">IF(I179=0,1,0)</f>
        <v>0</v>
      </c>
      <c r="M179" s="2" t="n">
        <f aca="false">L179</f>
        <v>0</v>
      </c>
      <c r="N179" s="9" t="n">
        <v>0.1119</v>
      </c>
      <c r="O179" s="2" t="n">
        <f aca="false">RANK(N179,$N$2:$N$230,0)</f>
        <v>178</v>
      </c>
      <c r="P179" s="2" t="n">
        <f aca="false">IF(O179&lt;=설명!$B$25,1,0)</f>
        <v>0</v>
      </c>
      <c r="Q179" s="2" t="str">
        <f aca="false">IF(AND(M179=1,P179=1),"① 최우선 지원",IF(P179=1,"② 예방 대상",IF(M179=1,"③ 구조적 공백","④ 관찰")))</f>
        <v>④ 관찰</v>
      </c>
      <c r="R179" s="9" t="n">
        <v>0.1134</v>
      </c>
      <c r="S179" s="2" t="n">
        <f aca="false">RANK(R179,$R$2:$R$230,0)</f>
        <v>179</v>
      </c>
    </row>
    <row r="180" customFormat="false" ht="15" hidden="false" customHeight="false" outlineLevel="0" collapsed="false">
      <c r="A180" s="2" t="s">
        <v>404</v>
      </c>
      <c r="B180" s="3" t="s">
        <v>66</v>
      </c>
      <c r="C180" s="3" t="s">
        <v>405</v>
      </c>
      <c r="D180" s="2" t="n">
        <v>2024</v>
      </c>
      <c r="E180" s="2" t="n">
        <v>2027</v>
      </c>
      <c r="F180" s="2" t="n">
        <v>29668</v>
      </c>
      <c r="G180" s="2" t="n">
        <v>453</v>
      </c>
      <c r="H180" s="8" t="n">
        <v>15.2689766752056</v>
      </c>
      <c r="I180" s="2" t="n">
        <v>65</v>
      </c>
      <c r="J180" s="2" t="n">
        <v>160</v>
      </c>
      <c r="K180" s="2" t="n">
        <f aca="false">IF(H180&lt;=PERCENTILE($H$2:$H$230,설명!$B$26),1,0)</f>
        <v>1</v>
      </c>
      <c r="L180" s="2" t="n">
        <f aca="false">IF(I180=0,1,0)</f>
        <v>0</v>
      </c>
      <c r="M180" s="2" t="n">
        <f aca="false">L180</f>
        <v>0</v>
      </c>
      <c r="N180" s="9" t="n">
        <v>0.111</v>
      </c>
      <c r="O180" s="2" t="n">
        <f aca="false">RANK(N180,$N$2:$N$230,0)</f>
        <v>179</v>
      </c>
      <c r="P180" s="2" t="n">
        <f aca="false">IF(O180&lt;=설명!$B$25,1,0)</f>
        <v>0</v>
      </c>
      <c r="Q180" s="2" t="str">
        <f aca="false">IF(AND(M180=1,P180=1),"① 최우선 지원",IF(P180=1,"② 예방 대상",IF(M180=1,"③ 구조적 공백","④ 관찰")))</f>
        <v>④ 관찰</v>
      </c>
      <c r="R180" s="9" t="n">
        <v>0.1127</v>
      </c>
      <c r="S180" s="2" t="n">
        <f aca="false">RANK(R180,$R$2:$R$230,0)</f>
        <v>180</v>
      </c>
    </row>
    <row r="181" customFormat="false" ht="15" hidden="false" customHeight="false" outlineLevel="0" collapsed="false">
      <c r="A181" s="2" t="s">
        <v>406</v>
      </c>
      <c r="B181" s="3" t="s">
        <v>108</v>
      </c>
      <c r="C181" s="3" t="s">
        <v>407</v>
      </c>
      <c r="D181" s="2" t="n">
        <v>2024</v>
      </c>
      <c r="E181" s="2" t="n">
        <v>2027</v>
      </c>
      <c r="F181" s="2" t="n">
        <v>16284</v>
      </c>
      <c r="G181" s="2" t="n">
        <v>266</v>
      </c>
      <c r="H181" s="8" t="n">
        <v>16.3350528125768</v>
      </c>
      <c r="I181" s="2" t="n">
        <v>18</v>
      </c>
      <c r="J181" s="2" t="n">
        <v>65</v>
      </c>
      <c r="K181" s="2" t="n">
        <f aca="false">IF(H181&lt;=PERCENTILE($H$2:$H$230,설명!$B$26),1,0)</f>
        <v>0</v>
      </c>
      <c r="L181" s="2" t="n">
        <f aca="false">IF(I181=0,1,0)</f>
        <v>0</v>
      </c>
      <c r="M181" s="2" t="n">
        <f aca="false">L181</f>
        <v>0</v>
      </c>
      <c r="N181" s="9" t="n">
        <v>0.1101</v>
      </c>
      <c r="O181" s="2" t="n">
        <f aca="false">RANK(N181,$N$2:$N$230,0)</f>
        <v>180</v>
      </c>
      <c r="P181" s="2" t="n">
        <f aca="false">IF(O181&lt;=설명!$B$25,1,0)</f>
        <v>0</v>
      </c>
      <c r="Q181" s="2" t="str">
        <f aca="false">IF(AND(M181=1,P181=1),"① 최우선 지원",IF(P181=1,"② 예방 대상",IF(M181=1,"③ 구조적 공백","④ 관찰")))</f>
        <v>④ 관찰</v>
      </c>
      <c r="R181" s="9" t="n">
        <v>0.0924</v>
      </c>
      <c r="S181" s="2" t="n">
        <f aca="false">RANK(R181,$R$2:$R$230,0)</f>
        <v>193</v>
      </c>
    </row>
    <row r="182" customFormat="false" ht="15" hidden="false" customHeight="false" outlineLevel="0" collapsed="false">
      <c r="A182" s="2" t="s">
        <v>408</v>
      </c>
      <c r="B182" s="3" t="s">
        <v>90</v>
      </c>
      <c r="C182" s="3" t="s">
        <v>409</v>
      </c>
      <c r="D182" s="2" t="n">
        <v>2024</v>
      </c>
      <c r="E182" s="2" t="n">
        <v>2027</v>
      </c>
      <c r="F182" s="2" t="n">
        <v>930</v>
      </c>
      <c r="G182" s="2" t="n">
        <v>13</v>
      </c>
      <c r="H182" s="8" t="n">
        <v>13.9784946236559</v>
      </c>
      <c r="I182" s="2" t="n">
        <v>0</v>
      </c>
      <c r="J182" s="2" t="n">
        <v>1</v>
      </c>
      <c r="K182" s="2" t="n">
        <f aca="false">IF(H182&lt;=PERCENTILE($H$2:$H$230,설명!$B$26),1,0)</f>
        <v>1</v>
      </c>
      <c r="L182" s="2" t="n">
        <f aca="false">IF(I182=0,1,0)</f>
        <v>1</v>
      </c>
      <c r="M182" s="2" t="n">
        <f aca="false">L182</f>
        <v>1</v>
      </c>
      <c r="N182" s="9" t="n">
        <v>0.1094</v>
      </c>
      <c r="O182" s="2" t="n">
        <f aca="false">RANK(N182,$N$2:$N$230,0)</f>
        <v>181</v>
      </c>
      <c r="P182" s="2" t="n">
        <f aca="false">IF(O182&lt;=설명!$B$25,1,0)</f>
        <v>0</v>
      </c>
      <c r="Q182" s="2" t="str">
        <f aca="false">IF(AND(M182=1,P182=1),"① 최우선 지원",IF(P182=1,"② 예방 대상",IF(M182=1,"③ 구조적 공백","④ 관찰")))</f>
        <v>③ 구조적 공백</v>
      </c>
      <c r="R182" s="9" t="n">
        <v>0.1358</v>
      </c>
      <c r="S182" s="2" t="n">
        <f aca="false">RANK(R182,$R$2:$R$230,0)</f>
        <v>168</v>
      </c>
    </row>
    <row r="183" customFormat="false" ht="15" hidden="false" customHeight="false" outlineLevel="0" collapsed="false">
      <c r="A183" s="2" t="s">
        <v>410</v>
      </c>
      <c r="B183" s="3" t="s">
        <v>76</v>
      </c>
      <c r="C183" s="3" t="s">
        <v>411</v>
      </c>
      <c r="D183" s="2" t="n">
        <v>2024</v>
      </c>
      <c r="E183" s="2" t="n">
        <v>2027</v>
      </c>
      <c r="F183" s="2" t="n">
        <v>1170</v>
      </c>
      <c r="G183" s="2" t="n">
        <v>18</v>
      </c>
      <c r="H183" s="8" t="n">
        <v>15.3846153846154</v>
      </c>
      <c r="I183" s="2" t="n">
        <v>0</v>
      </c>
      <c r="J183" s="2" t="n">
        <v>1</v>
      </c>
      <c r="K183" s="2" t="n">
        <f aca="false">IF(H183&lt;=PERCENTILE($H$2:$H$230,설명!$B$26),1,0)</f>
        <v>0</v>
      </c>
      <c r="L183" s="2" t="n">
        <f aca="false">IF(I183=0,1,0)</f>
        <v>1</v>
      </c>
      <c r="M183" s="2" t="n">
        <f aca="false">L183</f>
        <v>1</v>
      </c>
      <c r="N183" s="9" t="n">
        <v>0.1092</v>
      </c>
      <c r="O183" s="2" t="n">
        <f aca="false">RANK(N183,$N$2:$N$230,0)</f>
        <v>182</v>
      </c>
      <c r="P183" s="2" t="n">
        <f aca="false">IF(O183&lt;=설명!$B$25,1,0)</f>
        <v>0</v>
      </c>
      <c r="Q183" s="2" t="str">
        <f aca="false">IF(AND(M183=1,P183=1),"① 최우선 지원",IF(P183=1,"② 예방 대상",IF(M183=1,"③ 구조적 공백","④ 관찰")))</f>
        <v>③ 구조적 공백</v>
      </c>
      <c r="R183" s="9" t="n">
        <v>0.1209</v>
      </c>
      <c r="S183" s="2" t="n">
        <f aca="false">RANK(R183,$R$2:$R$230,0)</f>
        <v>175</v>
      </c>
    </row>
    <row r="184" customFormat="false" ht="15" hidden="false" customHeight="false" outlineLevel="0" collapsed="false">
      <c r="A184" s="2" t="s">
        <v>412</v>
      </c>
      <c r="B184" s="3" t="s">
        <v>76</v>
      </c>
      <c r="C184" s="3" t="s">
        <v>413</v>
      </c>
      <c r="D184" s="2" t="n">
        <v>2024</v>
      </c>
      <c r="E184" s="2" t="n">
        <v>2027</v>
      </c>
      <c r="F184" s="2" t="n">
        <v>442</v>
      </c>
      <c r="G184" s="2" t="n">
        <v>8</v>
      </c>
      <c r="H184" s="8" t="n">
        <v>18.0995475113122</v>
      </c>
      <c r="I184" s="2" t="n">
        <v>0</v>
      </c>
      <c r="J184" s="2" t="n">
        <v>2</v>
      </c>
      <c r="K184" s="2" t="n">
        <f aca="false">IF(H184&lt;=PERCENTILE($H$2:$H$230,설명!$B$26),1,0)</f>
        <v>0</v>
      </c>
      <c r="L184" s="2" t="n">
        <f aca="false">IF(I184=0,1,0)</f>
        <v>1</v>
      </c>
      <c r="M184" s="2" t="n">
        <f aca="false">L184</f>
        <v>1</v>
      </c>
      <c r="N184" s="9" t="n">
        <v>0.1073</v>
      </c>
      <c r="O184" s="2" t="n">
        <f aca="false">RANK(N184,$N$2:$N$230,0)</f>
        <v>183</v>
      </c>
      <c r="P184" s="2" t="n">
        <f aca="false">IF(O184&lt;=설명!$B$25,1,0)</f>
        <v>0</v>
      </c>
      <c r="Q184" s="2" t="str">
        <f aca="false">IF(AND(M184=1,P184=1),"① 최우선 지원",IF(P184=1,"② 예방 대상",IF(M184=1,"③ 구조적 공백","④ 관찰")))</f>
        <v>③ 구조적 공백</v>
      </c>
      <c r="R184" s="9" t="n">
        <v>0.1175</v>
      </c>
      <c r="S184" s="2" t="n">
        <f aca="false">RANK(R184,$R$2:$R$230,0)</f>
        <v>177</v>
      </c>
    </row>
    <row r="185" customFormat="false" ht="15" hidden="false" customHeight="false" outlineLevel="0" collapsed="false">
      <c r="A185" s="2" t="s">
        <v>414</v>
      </c>
      <c r="B185" s="3" t="s">
        <v>120</v>
      </c>
      <c r="C185" s="3" t="s">
        <v>415</v>
      </c>
      <c r="D185" s="2" t="n">
        <v>2024</v>
      </c>
      <c r="E185" s="2" t="n">
        <v>2027</v>
      </c>
      <c r="F185" s="2" t="n">
        <v>2783</v>
      </c>
      <c r="G185" s="2" t="n">
        <v>66</v>
      </c>
      <c r="H185" s="8" t="n">
        <v>23.7154150197628</v>
      </c>
      <c r="I185" s="2" t="n">
        <v>4</v>
      </c>
      <c r="J185" s="2" t="n">
        <v>111</v>
      </c>
      <c r="K185" s="2" t="n">
        <f aca="false">IF(H185&lt;=PERCENTILE($H$2:$H$230,설명!$B$26),1,0)</f>
        <v>0</v>
      </c>
      <c r="L185" s="2" t="n">
        <f aca="false">IF(I185=0,1,0)</f>
        <v>0</v>
      </c>
      <c r="M185" s="2" t="n">
        <f aca="false">L185</f>
        <v>0</v>
      </c>
      <c r="N185" s="9" t="n">
        <v>0.1058</v>
      </c>
      <c r="O185" s="2" t="n">
        <f aca="false">RANK(N185,$N$2:$N$230,0)</f>
        <v>184</v>
      </c>
      <c r="P185" s="2" t="n">
        <f aca="false">IF(O185&lt;=설명!$B$25,1,0)</f>
        <v>0</v>
      </c>
      <c r="Q185" s="2" t="str">
        <f aca="false">IF(AND(M185=1,P185=1),"① 최우선 지원",IF(P185=1,"② 예방 대상",IF(M185=1,"③ 구조적 공백","④ 관찰")))</f>
        <v>④ 관찰</v>
      </c>
      <c r="R185" s="9" t="n">
        <v>0.1056</v>
      </c>
      <c r="S185" s="2" t="n">
        <f aca="false">RANK(R185,$R$2:$R$230,0)</f>
        <v>185</v>
      </c>
    </row>
    <row r="186" customFormat="false" ht="15" hidden="false" customHeight="false" outlineLevel="0" collapsed="false">
      <c r="A186" s="2" t="s">
        <v>416</v>
      </c>
      <c r="B186" s="3" t="s">
        <v>120</v>
      </c>
      <c r="C186" s="3" t="s">
        <v>104</v>
      </c>
      <c r="D186" s="2" t="n">
        <v>2024</v>
      </c>
      <c r="E186" s="2" t="n">
        <v>2027</v>
      </c>
      <c r="F186" s="2" t="n">
        <v>3081</v>
      </c>
      <c r="G186" s="2" t="n">
        <v>65</v>
      </c>
      <c r="H186" s="8" t="n">
        <v>21.0970464135021</v>
      </c>
      <c r="I186" s="2" t="n">
        <v>5</v>
      </c>
      <c r="J186" s="2" t="n">
        <v>15</v>
      </c>
      <c r="K186" s="2" t="n">
        <f aca="false">IF(H186&lt;=PERCENTILE($H$2:$H$230,설명!$B$26),1,0)</f>
        <v>0</v>
      </c>
      <c r="L186" s="2" t="n">
        <f aca="false">IF(I186=0,1,0)</f>
        <v>0</v>
      </c>
      <c r="M186" s="2" t="n">
        <f aca="false">L186</f>
        <v>0</v>
      </c>
      <c r="N186" s="9" t="n">
        <v>0.1049</v>
      </c>
      <c r="O186" s="2" t="n">
        <f aca="false">RANK(N186,$N$2:$N$230,0)</f>
        <v>185</v>
      </c>
      <c r="P186" s="2" t="n">
        <f aca="false">IF(O186&lt;=설명!$B$25,1,0)</f>
        <v>0</v>
      </c>
      <c r="Q186" s="2" t="str">
        <f aca="false">IF(AND(M186=1,P186=1),"① 최우선 지원",IF(P186=1,"② 예방 대상",IF(M186=1,"③ 구조적 공백","④ 관찰")))</f>
        <v>④ 관찰</v>
      </c>
      <c r="R186" s="9" t="n">
        <v>0.1025</v>
      </c>
      <c r="S186" s="2" t="n">
        <f aca="false">RANK(R186,$R$2:$R$230,0)</f>
        <v>186</v>
      </c>
    </row>
    <row r="187" customFormat="false" ht="15" hidden="false" customHeight="false" outlineLevel="0" collapsed="false">
      <c r="A187" s="2" t="s">
        <v>417</v>
      </c>
      <c r="B187" s="3" t="s">
        <v>120</v>
      </c>
      <c r="C187" s="3" t="s">
        <v>418</v>
      </c>
      <c r="D187" s="2" t="n">
        <v>2024</v>
      </c>
      <c r="E187" s="2" t="n">
        <v>2027</v>
      </c>
      <c r="F187" s="2" t="n">
        <v>8601</v>
      </c>
      <c r="G187" s="2" t="n">
        <v>126</v>
      </c>
      <c r="H187" s="8" t="n">
        <v>14.6494593651901</v>
      </c>
      <c r="I187" s="2" t="n">
        <v>11</v>
      </c>
      <c r="J187" s="2" t="n">
        <v>99</v>
      </c>
      <c r="K187" s="2" t="n">
        <f aca="false">IF(H187&lt;=PERCENTILE($H$2:$H$230,설명!$B$26),1,0)</f>
        <v>1</v>
      </c>
      <c r="L187" s="2" t="n">
        <f aca="false">IF(I187=0,1,0)</f>
        <v>0</v>
      </c>
      <c r="M187" s="2" t="n">
        <f aca="false">L187</f>
        <v>0</v>
      </c>
      <c r="N187" s="9" t="n">
        <v>0.104</v>
      </c>
      <c r="O187" s="2" t="n">
        <f aca="false">RANK(N187,$N$2:$N$230,0)</f>
        <v>186</v>
      </c>
      <c r="P187" s="2" t="n">
        <f aca="false">IF(O187&lt;=설명!$B$25,1,0)</f>
        <v>0</v>
      </c>
      <c r="Q187" s="2" t="str">
        <f aca="false">IF(AND(M187=1,P187=1),"① 최우선 지원",IF(P187=1,"② 예방 대상",IF(M187=1,"③ 구조적 공백","④ 관찰")))</f>
        <v>④ 관찰</v>
      </c>
      <c r="R187" s="9" t="n">
        <v>0.0958</v>
      </c>
      <c r="S187" s="2" t="n">
        <f aca="false">RANK(R187,$R$2:$R$230,0)</f>
        <v>189</v>
      </c>
    </row>
    <row r="188" customFormat="false" ht="15" hidden="false" customHeight="false" outlineLevel="0" collapsed="false">
      <c r="A188" s="2" t="s">
        <v>419</v>
      </c>
      <c r="B188" s="3" t="s">
        <v>71</v>
      </c>
      <c r="C188" s="3" t="s">
        <v>420</v>
      </c>
      <c r="D188" s="2" t="n">
        <v>2024</v>
      </c>
      <c r="E188" s="2" t="n">
        <v>2027</v>
      </c>
      <c r="F188" s="2" t="n">
        <v>12611</v>
      </c>
      <c r="G188" s="2" t="n">
        <v>190</v>
      </c>
      <c r="H188" s="8" t="n">
        <v>15.0662120371105</v>
      </c>
      <c r="I188" s="2" t="n">
        <v>15</v>
      </c>
      <c r="J188" s="2" t="n">
        <v>41</v>
      </c>
      <c r="K188" s="2" t="n">
        <f aca="false">IF(H188&lt;=PERCENTILE($H$2:$H$230,설명!$B$26),1,0)</f>
        <v>1</v>
      </c>
      <c r="L188" s="2" t="n">
        <f aca="false">IF(I188=0,1,0)</f>
        <v>0</v>
      </c>
      <c r="M188" s="2" t="n">
        <f aca="false">L188</f>
        <v>0</v>
      </c>
      <c r="N188" s="9" t="n">
        <v>0.1036</v>
      </c>
      <c r="O188" s="2" t="n">
        <f aca="false">RANK(N188,$N$2:$N$230,0)</f>
        <v>187</v>
      </c>
      <c r="P188" s="2" t="n">
        <f aca="false">IF(O188&lt;=설명!$B$25,1,0)</f>
        <v>0</v>
      </c>
      <c r="Q188" s="2" t="str">
        <f aca="false">IF(AND(M188=1,P188=1),"① 최우선 지원",IF(P188=1,"② 예방 대상",IF(M188=1,"③ 구조적 공백","④ 관찰")))</f>
        <v>④ 관찰</v>
      </c>
      <c r="R188" s="9" t="n">
        <v>0.0893</v>
      </c>
      <c r="S188" s="2" t="n">
        <f aca="false">RANK(R188,$R$2:$R$230,0)</f>
        <v>196</v>
      </c>
    </row>
    <row r="189" customFormat="false" ht="15" hidden="false" customHeight="false" outlineLevel="0" collapsed="false">
      <c r="A189" s="2" t="s">
        <v>421</v>
      </c>
      <c r="B189" s="3" t="s">
        <v>79</v>
      </c>
      <c r="C189" s="3" t="s">
        <v>422</v>
      </c>
      <c r="D189" s="2" t="n">
        <v>2024</v>
      </c>
      <c r="E189" s="2" t="n">
        <v>2027</v>
      </c>
      <c r="F189" s="2" t="n">
        <v>8856</v>
      </c>
      <c r="G189" s="2" t="n">
        <v>104</v>
      </c>
      <c r="H189" s="8" t="n">
        <v>11.743450767841</v>
      </c>
      <c r="I189" s="2" t="n">
        <v>14</v>
      </c>
      <c r="J189" s="2" t="n">
        <v>36</v>
      </c>
      <c r="K189" s="2" t="n">
        <f aca="false">IF(H189&lt;=PERCENTILE($H$2:$H$230,설명!$B$26),1,0)</f>
        <v>1</v>
      </c>
      <c r="L189" s="2" t="n">
        <f aca="false">IF(I189=0,1,0)</f>
        <v>0</v>
      </c>
      <c r="M189" s="2" t="n">
        <f aca="false">L189</f>
        <v>0</v>
      </c>
      <c r="N189" s="9" t="n">
        <v>0.1031</v>
      </c>
      <c r="O189" s="2" t="n">
        <f aca="false">RANK(N189,$N$2:$N$230,0)</f>
        <v>188</v>
      </c>
      <c r="P189" s="2" t="n">
        <f aca="false">IF(O189&lt;=설명!$B$25,1,0)</f>
        <v>0</v>
      </c>
      <c r="Q189" s="2" t="str">
        <f aca="false">IF(AND(M189=1,P189=1),"① 최우선 지원",IF(P189=1,"② 예방 대상",IF(M189=1,"③ 구조적 공백","④ 관찰")))</f>
        <v>④ 관찰</v>
      </c>
      <c r="R189" s="9" t="n">
        <v>0.0957</v>
      </c>
      <c r="S189" s="2" t="n">
        <f aca="false">RANK(R189,$R$2:$R$230,0)</f>
        <v>190</v>
      </c>
    </row>
    <row r="190" customFormat="false" ht="15" hidden="false" customHeight="false" outlineLevel="0" collapsed="false">
      <c r="A190" s="2" t="s">
        <v>423</v>
      </c>
      <c r="B190" s="3" t="s">
        <v>204</v>
      </c>
      <c r="C190" s="3" t="s">
        <v>424</v>
      </c>
      <c r="D190" s="2" t="n">
        <v>2024</v>
      </c>
      <c r="E190" s="2" t="n">
        <v>2027</v>
      </c>
      <c r="F190" s="2" t="n">
        <v>618</v>
      </c>
      <c r="G190" s="2" t="n">
        <v>13</v>
      </c>
      <c r="H190" s="8" t="n">
        <v>21.0355987055016</v>
      </c>
      <c r="I190" s="2" t="n">
        <v>0</v>
      </c>
      <c r="J190" s="2" t="n">
        <v>2</v>
      </c>
      <c r="K190" s="2" t="n">
        <f aca="false">IF(H190&lt;=PERCENTILE($H$2:$H$230,설명!$B$26),1,0)</f>
        <v>0</v>
      </c>
      <c r="L190" s="2" t="n">
        <f aca="false">IF(I190=0,1,0)</f>
        <v>1</v>
      </c>
      <c r="M190" s="2" t="n">
        <f aca="false">L190</f>
        <v>1</v>
      </c>
      <c r="N190" s="9" t="n">
        <v>0.1019</v>
      </c>
      <c r="O190" s="2" t="n">
        <f aca="false">RANK(N190,$N$2:$N$230,0)</f>
        <v>189</v>
      </c>
      <c r="P190" s="2" t="n">
        <f aca="false">IF(O190&lt;=설명!$B$25,1,0)</f>
        <v>0</v>
      </c>
      <c r="Q190" s="2" t="str">
        <f aca="false">IF(AND(M190=1,P190=1),"① 최우선 지원",IF(P190=1,"② 예방 대상",IF(M190=1,"③ 구조적 공백","④ 관찰")))</f>
        <v>③ 구조적 공백</v>
      </c>
      <c r="R190" s="9" t="n">
        <v>0.1365</v>
      </c>
      <c r="S190" s="2" t="n">
        <f aca="false">RANK(R190,$R$2:$R$230,0)</f>
        <v>167</v>
      </c>
    </row>
    <row r="191" customFormat="false" ht="15" hidden="false" customHeight="false" outlineLevel="0" collapsed="false">
      <c r="A191" s="2" t="s">
        <v>425</v>
      </c>
      <c r="B191" s="3" t="s">
        <v>153</v>
      </c>
      <c r="C191" s="3" t="s">
        <v>426</v>
      </c>
      <c r="D191" s="2" t="n">
        <v>2024</v>
      </c>
      <c r="E191" s="2" t="n">
        <v>2027</v>
      </c>
      <c r="F191" s="2" t="n">
        <v>394</v>
      </c>
      <c r="G191" s="2" t="n">
        <v>7</v>
      </c>
      <c r="H191" s="8" t="n">
        <v>17.7664974619289</v>
      </c>
      <c r="I191" s="2" t="n">
        <v>0</v>
      </c>
      <c r="J191" s="2" t="n">
        <v>2</v>
      </c>
      <c r="K191" s="2" t="n">
        <f aca="false">IF(H191&lt;=PERCENTILE($H$2:$H$230,설명!$B$26),1,0)</f>
        <v>0</v>
      </c>
      <c r="L191" s="2" t="n">
        <f aca="false">IF(I191=0,1,0)</f>
        <v>1</v>
      </c>
      <c r="M191" s="2" t="n">
        <f aca="false">L191</f>
        <v>1</v>
      </c>
      <c r="N191" s="9" t="n">
        <v>0.1019</v>
      </c>
      <c r="O191" s="2" t="n">
        <f aca="false">RANK(N191,$N$2:$N$230,0)</f>
        <v>189</v>
      </c>
      <c r="P191" s="2" t="n">
        <f aca="false">IF(O191&lt;=설명!$B$25,1,0)</f>
        <v>0</v>
      </c>
      <c r="Q191" s="2" t="str">
        <f aca="false">IF(AND(M191=1,P191=1),"① 최우선 지원",IF(P191=1,"② 예방 대상",IF(M191=1,"③ 구조적 공백","④ 관찰")))</f>
        <v>③ 구조적 공백</v>
      </c>
      <c r="R191" s="9" t="n">
        <v>0.0986</v>
      </c>
      <c r="S191" s="2" t="n">
        <f aca="false">RANK(R191,$R$2:$R$230,0)</f>
        <v>188</v>
      </c>
    </row>
    <row r="192" customFormat="false" ht="15" hidden="false" customHeight="false" outlineLevel="0" collapsed="false">
      <c r="A192" s="2" t="s">
        <v>427</v>
      </c>
      <c r="B192" s="3" t="s">
        <v>90</v>
      </c>
      <c r="C192" s="3" t="s">
        <v>428</v>
      </c>
      <c r="D192" s="2" t="n">
        <v>2024</v>
      </c>
      <c r="E192" s="2" t="n">
        <v>2027</v>
      </c>
      <c r="F192" s="2" t="n">
        <v>1204</v>
      </c>
      <c r="G192" s="2" t="n">
        <v>33</v>
      </c>
      <c r="H192" s="8" t="n">
        <v>27.4086378737542</v>
      </c>
      <c r="I192" s="2" t="n">
        <v>0</v>
      </c>
      <c r="J192" s="2" t="n">
        <v>1</v>
      </c>
      <c r="K192" s="2" t="n">
        <f aca="false">IF(H192&lt;=PERCENTILE($H$2:$H$230,설명!$B$26),1,0)</f>
        <v>0</v>
      </c>
      <c r="L192" s="2" t="n">
        <f aca="false">IF(I192=0,1,0)</f>
        <v>1</v>
      </c>
      <c r="M192" s="2" t="n">
        <f aca="false">L192</f>
        <v>1</v>
      </c>
      <c r="N192" s="9" t="n">
        <v>0.1009</v>
      </c>
      <c r="O192" s="2" t="n">
        <f aca="false">RANK(N192,$N$2:$N$230,0)</f>
        <v>191</v>
      </c>
      <c r="P192" s="2" t="n">
        <f aca="false">IF(O192&lt;=설명!$B$25,1,0)</f>
        <v>0</v>
      </c>
      <c r="Q192" s="2" t="str">
        <f aca="false">IF(AND(M192=1,P192=1),"① 최우선 지원",IF(P192=1,"② 예방 대상",IF(M192=1,"③ 구조적 공백","④ 관찰")))</f>
        <v>③ 구조적 공백</v>
      </c>
      <c r="R192" s="9" t="n">
        <v>0.0825</v>
      </c>
      <c r="S192" s="2" t="n">
        <f aca="false">RANK(R192,$R$2:$R$230,0)</f>
        <v>202</v>
      </c>
    </row>
    <row r="193" customFormat="false" ht="15" hidden="false" customHeight="false" outlineLevel="0" collapsed="false">
      <c r="A193" s="2" t="s">
        <v>429</v>
      </c>
      <c r="B193" s="3" t="s">
        <v>199</v>
      </c>
      <c r="C193" s="3" t="s">
        <v>430</v>
      </c>
      <c r="D193" s="2" t="n">
        <v>2024</v>
      </c>
      <c r="E193" s="2" t="n">
        <v>2027</v>
      </c>
      <c r="F193" s="2" t="n">
        <v>3260</v>
      </c>
      <c r="G193" s="2" t="n">
        <v>50</v>
      </c>
      <c r="H193" s="8" t="n">
        <v>15.3374233128834</v>
      </c>
      <c r="I193" s="2" t="n">
        <v>4</v>
      </c>
      <c r="J193" s="2" t="n">
        <v>5</v>
      </c>
      <c r="K193" s="2" t="n">
        <f aca="false">IF(H193&lt;=PERCENTILE($H$2:$H$230,설명!$B$26),1,0)</f>
        <v>0</v>
      </c>
      <c r="L193" s="2" t="n">
        <f aca="false">IF(I193=0,1,0)</f>
        <v>0</v>
      </c>
      <c r="M193" s="2" t="n">
        <f aca="false">L193</f>
        <v>0</v>
      </c>
      <c r="N193" s="9" t="n">
        <v>0.0995</v>
      </c>
      <c r="O193" s="2" t="n">
        <f aca="false">RANK(N193,$N$2:$N$230,0)</f>
        <v>192</v>
      </c>
      <c r="P193" s="2" t="n">
        <f aca="false">IF(O193&lt;=설명!$B$25,1,0)</f>
        <v>0</v>
      </c>
      <c r="Q193" s="2" t="str">
        <f aca="false">IF(AND(M193=1,P193=1),"① 최우선 지원",IF(P193=1,"② 예방 대상",IF(M193=1,"③ 구조적 공백","④ 관찰")))</f>
        <v>④ 관찰</v>
      </c>
      <c r="R193" s="9" t="n">
        <v>0.0827</v>
      </c>
      <c r="S193" s="2" t="n">
        <f aca="false">RANK(R193,$R$2:$R$230,0)</f>
        <v>201</v>
      </c>
    </row>
    <row r="194" customFormat="false" ht="15" hidden="false" customHeight="false" outlineLevel="0" collapsed="false">
      <c r="A194" s="2" t="s">
        <v>431</v>
      </c>
      <c r="B194" s="3" t="s">
        <v>153</v>
      </c>
      <c r="C194" s="3" t="s">
        <v>432</v>
      </c>
      <c r="D194" s="2" t="n">
        <v>2024</v>
      </c>
      <c r="E194" s="2" t="n">
        <v>2027</v>
      </c>
      <c r="F194" s="2" t="n">
        <v>548</v>
      </c>
      <c r="G194" s="2" t="n">
        <v>9</v>
      </c>
      <c r="H194" s="8" t="n">
        <v>16.4233576642336</v>
      </c>
      <c r="I194" s="2" t="n">
        <v>0</v>
      </c>
      <c r="J194" s="2" t="n">
        <v>2</v>
      </c>
      <c r="K194" s="2" t="n">
        <f aca="false">IF(H194&lt;=PERCENTILE($H$2:$H$230,설명!$B$26),1,0)</f>
        <v>0</v>
      </c>
      <c r="L194" s="2" t="n">
        <f aca="false">IF(I194=0,1,0)</f>
        <v>1</v>
      </c>
      <c r="M194" s="2" t="n">
        <f aca="false">L194</f>
        <v>1</v>
      </c>
      <c r="N194" s="9" t="n">
        <v>0.0991</v>
      </c>
      <c r="O194" s="2" t="n">
        <f aca="false">RANK(N194,$N$2:$N$230,0)</f>
        <v>193</v>
      </c>
      <c r="P194" s="2" t="n">
        <f aca="false">IF(O194&lt;=설명!$B$25,1,0)</f>
        <v>0</v>
      </c>
      <c r="Q194" s="2" t="str">
        <f aca="false">IF(AND(M194=1,P194=1),"① 최우선 지원",IF(P194=1,"② 예방 대상",IF(M194=1,"③ 구조적 공백","④ 관찰")))</f>
        <v>③ 구조적 공백</v>
      </c>
      <c r="R194" s="9" t="n">
        <v>0.1482</v>
      </c>
      <c r="S194" s="2" t="n">
        <f aca="false">RANK(R194,$R$2:$R$230,0)</f>
        <v>161</v>
      </c>
    </row>
    <row r="195" customFormat="false" ht="15" hidden="false" customHeight="false" outlineLevel="0" collapsed="false">
      <c r="A195" s="2" t="s">
        <v>433</v>
      </c>
      <c r="B195" s="3" t="s">
        <v>120</v>
      </c>
      <c r="C195" s="3" t="s">
        <v>434</v>
      </c>
      <c r="D195" s="2" t="n">
        <v>2024</v>
      </c>
      <c r="E195" s="2" t="n">
        <v>2027</v>
      </c>
      <c r="F195" s="2" t="n">
        <v>10104</v>
      </c>
      <c r="G195" s="2" t="n">
        <v>173</v>
      </c>
      <c r="H195" s="8" t="n">
        <v>17.1219319081552</v>
      </c>
      <c r="I195" s="2" t="n">
        <v>18</v>
      </c>
      <c r="J195" s="2" t="n">
        <v>31</v>
      </c>
      <c r="K195" s="2" t="n">
        <f aca="false">IF(H195&lt;=PERCENTILE($H$2:$H$230,설명!$B$26),1,0)</f>
        <v>0</v>
      </c>
      <c r="L195" s="2" t="n">
        <f aca="false">IF(I195=0,1,0)</f>
        <v>0</v>
      </c>
      <c r="M195" s="2" t="n">
        <f aca="false">L195</f>
        <v>0</v>
      </c>
      <c r="N195" s="9" t="n">
        <v>0.0973</v>
      </c>
      <c r="O195" s="2" t="n">
        <f aca="false">RANK(N195,$N$2:$N$230,0)</f>
        <v>194</v>
      </c>
      <c r="P195" s="2" t="n">
        <f aca="false">IF(O195&lt;=설명!$B$25,1,0)</f>
        <v>0</v>
      </c>
      <c r="Q195" s="2" t="str">
        <f aca="false">IF(AND(M195=1,P195=1),"① 최우선 지원",IF(P195=1,"② 예방 대상",IF(M195=1,"③ 구조적 공백","④ 관찰")))</f>
        <v>④ 관찰</v>
      </c>
      <c r="R195" s="9" t="n">
        <v>0.0907</v>
      </c>
      <c r="S195" s="2" t="n">
        <f aca="false">RANK(R195,$R$2:$R$230,0)</f>
        <v>194</v>
      </c>
    </row>
    <row r="196" customFormat="false" ht="15" hidden="false" customHeight="false" outlineLevel="0" collapsed="false">
      <c r="A196" s="2" t="s">
        <v>435</v>
      </c>
      <c r="B196" s="3" t="s">
        <v>90</v>
      </c>
      <c r="C196" s="3" t="s">
        <v>436</v>
      </c>
      <c r="D196" s="2" t="n">
        <v>2024</v>
      </c>
      <c r="E196" s="2" t="n">
        <v>2027</v>
      </c>
      <c r="F196" s="2" t="n">
        <v>766</v>
      </c>
      <c r="G196" s="2" t="n">
        <v>15</v>
      </c>
      <c r="H196" s="8" t="n">
        <v>19.5822454308094</v>
      </c>
      <c r="I196" s="2" t="n">
        <v>0</v>
      </c>
      <c r="J196" s="2" t="n">
        <v>1</v>
      </c>
      <c r="K196" s="2" t="n">
        <f aca="false">IF(H196&lt;=PERCENTILE($H$2:$H$230,설명!$B$26),1,0)</f>
        <v>0</v>
      </c>
      <c r="L196" s="2" t="n">
        <f aca="false">IF(I196=0,1,0)</f>
        <v>1</v>
      </c>
      <c r="M196" s="2" t="n">
        <f aca="false">L196</f>
        <v>1</v>
      </c>
      <c r="N196" s="9" t="n">
        <v>0.0962</v>
      </c>
      <c r="O196" s="2" t="n">
        <f aca="false">RANK(N196,$N$2:$N$230,0)</f>
        <v>195</v>
      </c>
      <c r="P196" s="2" t="n">
        <f aca="false">IF(O196&lt;=설명!$B$25,1,0)</f>
        <v>0</v>
      </c>
      <c r="Q196" s="2" t="str">
        <f aca="false">IF(AND(M196=1,P196=1),"① 최우선 지원",IF(P196=1,"② 예방 대상",IF(M196=1,"③ 구조적 공백","④ 관찰")))</f>
        <v>③ 구조적 공백</v>
      </c>
      <c r="R196" s="9" t="n">
        <v>0.1174</v>
      </c>
      <c r="S196" s="2" t="n">
        <f aca="false">RANK(R196,$R$2:$R$230,0)</f>
        <v>178</v>
      </c>
    </row>
    <row r="197" customFormat="false" ht="15" hidden="false" customHeight="false" outlineLevel="0" collapsed="false">
      <c r="A197" s="2" t="s">
        <v>437</v>
      </c>
      <c r="B197" s="3" t="s">
        <v>66</v>
      </c>
      <c r="C197" s="3" t="s">
        <v>438</v>
      </c>
      <c r="D197" s="2" t="n">
        <v>2024</v>
      </c>
      <c r="E197" s="2" t="n">
        <v>2027</v>
      </c>
      <c r="F197" s="2" t="n">
        <v>4800</v>
      </c>
      <c r="G197" s="2" t="n">
        <v>61</v>
      </c>
      <c r="H197" s="8" t="n">
        <v>12.7083333333333</v>
      </c>
      <c r="I197" s="2" t="n">
        <v>4</v>
      </c>
      <c r="J197" s="2" t="n">
        <v>8</v>
      </c>
      <c r="K197" s="2" t="n">
        <f aca="false">IF(H197&lt;=PERCENTILE($H$2:$H$230,설명!$B$26),1,0)</f>
        <v>1</v>
      </c>
      <c r="L197" s="2" t="n">
        <f aca="false">IF(I197=0,1,0)</f>
        <v>0</v>
      </c>
      <c r="M197" s="2" t="n">
        <f aca="false">L197</f>
        <v>0</v>
      </c>
      <c r="N197" s="9" t="n">
        <v>0.0919</v>
      </c>
      <c r="O197" s="2" t="n">
        <f aca="false">RANK(N197,$N$2:$N$230,0)</f>
        <v>196</v>
      </c>
      <c r="P197" s="2" t="n">
        <f aca="false">IF(O197&lt;=설명!$B$25,1,0)</f>
        <v>0</v>
      </c>
      <c r="Q197" s="2" t="str">
        <f aca="false">IF(AND(M197=1,P197=1),"① 최우선 지원",IF(P197=1,"② 예방 대상",IF(M197=1,"③ 구조적 공백","④ 관찰")))</f>
        <v>④ 관찰</v>
      </c>
      <c r="R197" s="9" t="n">
        <v>0.1067</v>
      </c>
      <c r="S197" s="2" t="n">
        <f aca="false">RANK(R197,$R$2:$R$230,0)</f>
        <v>184</v>
      </c>
    </row>
    <row r="198" customFormat="false" ht="15" hidden="false" customHeight="false" outlineLevel="0" collapsed="false">
      <c r="A198" s="2" t="s">
        <v>439</v>
      </c>
      <c r="B198" s="3" t="s">
        <v>63</v>
      </c>
      <c r="C198" s="3" t="s">
        <v>440</v>
      </c>
      <c r="D198" s="2" t="n">
        <v>2024</v>
      </c>
      <c r="E198" s="2" t="n">
        <v>2027</v>
      </c>
      <c r="F198" s="2" t="n">
        <v>1021</v>
      </c>
      <c r="G198" s="2" t="n">
        <v>21</v>
      </c>
      <c r="H198" s="8" t="n">
        <v>20.5680705190989</v>
      </c>
      <c r="I198" s="2" t="n">
        <v>0</v>
      </c>
      <c r="J198" s="2" t="n">
        <v>2</v>
      </c>
      <c r="K198" s="2" t="n">
        <f aca="false">IF(H198&lt;=PERCENTILE($H$2:$H$230,설명!$B$26),1,0)</f>
        <v>0</v>
      </c>
      <c r="L198" s="2" t="n">
        <f aca="false">IF(I198=0,1,0)</f>
        <v>1</v>
      </c>
      <c r="M198" s="2" t="n">
        <f aca="false">L198</f>
        <v>1</v>
      </c>
      <c r="N198" s="9" t="n">
        <v>0.0915</v>
      </c>
      <c r="O198" s="2" t="n">
        <f aca="false">RANK(N198,$N$2:$N$230,0)</f>
        <v>197</v>
      </c>
      <c r="P198" s="2" t="n">
        <f aca="false">IF(O198&lt;=설명!$B$25,1,0)</f>
        <v>0</v>
      </c>
      <c r="Q198" s="2" t="str">
        <f aca="false">IF(AND(M198=1,P198=1),"① 최우선 지원",IF(P198=1,"② 예방 대상",IF(M198=1,"③ 구조적 공백","④ 관찰")))</f>
        <v>③ 구조적 공백</v>
      </c>
      <c r="R198" s="9" t="n">
        <v>0.0863</v>
      </c>
      <c r="S198" s="2" t="n">
        <f aca="false">RANK(R198,$R$2:$R$230,0)</f>
        <v>200</v>
      </c>
    </row>
    <row r="199" customFormat="false" ht="15" hidden="false" customHeight="false" outlineLevel="0" collapsed="false">
      <c r="A199" s="2" t="s">
        <v>441</v>
      </c>
      <c r="B199" s="3" t="s">
        <v>135</v>
      </c>
      <c r="C199" s="3" t="s">
        <v>442</v>
      </c>
      <c r="D199" s="2" t="n">
        <v>2024</v>
      </c>
      <c r="E199" s="2" t="n">
        <v>2027</v>
      </c>
      <c r="F199" s="2" t="n">
        <v>10660</v>
      </c>
      <c r="G199" s="2" t="n">
        <v>138</v>
      </c>
      <c r="H199" s="8" t="n">
        <v>12.9455909943715</v>
      </c>
      <c r="I199" s="2" t="n">
        <v>26</v>
      </c>
      <c r="J199" s="2" t="n">
        <v>59</v>
      </c>
      <c r="K199" s="2" t="n">
        <f aca="false">IF(H199&lt;=PERCENTILE($H$2:$H$230,설명!$B$26),1,0)</f>
        <v>1</v>
      </c>
      <c r="L199" s="2" t="n">
        <f aca="false">IF(I199=0,1,0)</f>
        <v>0</v>
      </c>
      <c r="M199" s="2" t="n">
        <f aca="false">L199</f>
        <v>0</v>
      </c>
      <c r="N199" s="9" t="n">
        <v>0.0876</v>
      </c>
      <c r="O199" s="2" t="n">
        <f aca="false">RANK(N199,$N$2:$N$230,0)</f>
        <v>198</v>
      </c>
      <c r="P199" s="2" t="n">
        <f aca="false">IF(O199&lt;=설명!$B$25,1,0)</f>
        <v>0</v>
      </c>
      <c r="Q199" s="2" t="str">
        <f aca="false">IF(AND(M199=1,P199=1),"① 최우선 지원",IF(P199=1,"② 예방 대상",IF(M199=1,"③ 구조적 공백","④ 관찰")))</f>
        <v>④ 관찰</v>
      </c>
      <c r="R199" s="9" t="n">
        <v>0.0678</v>
      </c>
      <c r="S199" s="2" t="n">
        <f aca="false">RANK(R199,$R$2:$R$230,0)</f>
        <v>214</v>
      </c>
    </row>
    <row r="200" customFormat="false" ht="15" hidden="false" customHeight="false" outlineLevel="0" collapsed="false">
      <c r="A200" s="2" t="s">
        <v>443</v>
      </c>
      <c r="B200" s="3" t="s">
        <v>63</v>
      </c>
      <c r="C200" s="3" t="s">
        <v>444</v>
      </c>
      <c r="D200" s="2" t="n">
        <v>2024</v>
      </c>
      <c r="E200" s="2" t="n">
        <v>2027</v>
      </c>
      <c r="F200" s="2" t="n">
        <v>772</v>
      </c>
      <c r="G200" s="2" t="n">
        <v>19</v>
      </c>
      <c r="H200" s="8" t="n">
        <v>24.6113989637306</v>
      </c>
      <c r="I200" s="2" t="n">
        <v>1</v>
      </c>
      <c r="J200" s="2" t="n">
        <v>1</v>
      </c>
      <c r="K200" s="2" t="n">
        <f aca="false">IF(H200&lt;=PERCENTILE($H$2:$H$230,설명!$B$26),1,0)</f>
        <v>0</v>
      </c>
      <c r="L200" s="2" t="n">
        <f aca="false">IF(I200=0,1,0)</f>
        <v>0</v>
      </c>
      <c r="M200" s="2" t="n">
        <f aca="false">L200</f>
        <v>0</v>
      </c>
      <c r="N200" s="9" t="n">
        <v>0.0865</v>
      </c>
      <c r="O200" s="2" t="n">
        <f aca="false">RANK(N200,$N$2:$N$230,0)</f>
        <v>199</v>
      </c>
      <c r="P200" s="2" t="n">
        <f aca="false">IF(O200&lt;=설명!$B$25,1,0)</f>
        <v>0</v>
      </c>
      <c r="Q200" s="2" t="str">
        <f aca="false">IF(AND(M200=1,P200=1),"① 최우선 지원",IF(P200=1,"② 예방 대상",IF(M200=1,"③ 구조적 공백","④ 관찰")))</f>
        <v>④ 관찰</v>
      </c>
      <c r="R200" s="9" t="n">
        <v>0.08</v>
      </c>
      <c r="S200" s="2" t="n">
        <f aca="false">RANK(R200,$R$2:$R$230,0)</f>
        <v>204</v>
      </c>
    </row>
    <row r="201" customFormat="false" ht="15" hidden="false" customHeight="false" outlineLevel="0" collapsed="false">
      <c r="A201" s="2" t="s">
        <v>445</v>
      </c>
      <c r="B201" s="3" t="s">
        <v>90</v>
      </c>
      <c r="C201" s="3" t="s">
        <v>446</v>
      </c>
      <c r="D201" s="2" t="n">
        <v>2024</v>
      </c>
      <c r="E201" s="2" t="n">
        <v>2027</v>
      </c>
      <c r="F201" s="2" t="n">
        <v>1085</v>
      </c>
      <c r="G201" s="2" t="n">
        <v>22</v>
      </c>
      <c r="H201" s="8" t="n">
        <v>20.2764976958525</v>
      </c>
      <c r="I201" s="2" t="n">
        <v>0</v>
      </c>
      <c r="J201" s="2" t="n">
        <v>1</v>
      </c>
      <c r="K201" s="2" t="n">
        <f aca="false">IF(H201&lt;=PERCENTILE($H$2:$H$230,설명!$B$26),1,0)</f>
        <v>0</v>
      </c>
      <c r="L201" s="2" t="n">
        <f aca="false">IF(I201=0,1,0)</f>
        <v>1</v>
      </c>
      <c r="M201" s="2" t="n">
        <f aca="false">L201</f>
        <v>1</v>
      </c>
      <c r="N201" s="9" t="n">
        <v>0.0859</v>
      </c>
      <c r="O201" s="2" t="n">
        <f aca="false">RANK(N201,$N$2:$N$230,0)</f>
        <v>200</v>
      </c>
      <c r="P201" s="2" t="n">
        <f aca="false">IF(O201&lt;=설명!$B$25,1,0)</f>
        <v>0</v>
      </c>
      <c r="Q201" s="2" t="str">
        <f aca="false">IF(AND(M201=1,P201=1),"① 최우선 지원",IF(P201=1,"② 예방 대상",IF(M201=1,"③ 구조적 공백","④ 관찰")))</f>
        <v>③ 구조적 공백</v>
      </c>
      <c r="R201" s="9" t="n">
        <v>0.0931</v>
      </c>
      <c r="S201" s="2" t="n">
        <f aca="false">RANK(R201,$R$2:$R$230,0)</f>
        <v>192</v>
      </c>
    </row>
    <row r="202" customFormat="false" ht="15" hidden="false" customHeight="false" outlineLevel="0" collapsed="false">
      <c r="A202" s="2" t="s">
        <v>447</v>
      </c>
      <c r="B202" s="3" t="s">
        <v>448</v>
      </c>
      <c r="C202" s="3" t="s">
        <v>448</v>
      </c>
      <c r="D202" s="2" t="n">
        <v>2024</v>
      </c>
      <c r="E202" s="2" t="n">
        <v>2027</v>
      </c>
      <c r="F202" s="2" t="n">
        <v>20411</v>
      </c>
      <c r="G202" s="2" t="n">
        <v>305</v>
      </c>
      <c r="H202" s="8" t="n">
        <v>14.9429229337122</v>
      </c>
      <c r="I202" s="2" t="n">
        <v>27</v>
      </c>
      <c r="J202" s="2" t="n">
        <v>80</v>
      </c>
      <c r="K202" s="2" t="n">
        <f aca="false">IF(H202&lt;=PERCENTILE($H$2:$H$230,설명!$B$26),1,0)</f>
        <v>1</v>
      </c>
      <c r="L202" s="2" t="n">
        <f aca="false">IF(I202=0,1,0)</f>
        <v>0</v>
      </c>
      <c r="M202" s="2" t="n">
        <f aca="false">L202</f>
        <v>0</v>
      </c>
      <c r="N202" s="9" t="n">
        <v>0.0847</v>
      </c>
      <c r="O202" s="2" t="n">
        <f aca="false">RANK(N202,$N$2:$N$230,0)</f>
        <v>201</v>
      </c>
      <c r="P202" s="2" t="n">
        <f aca="false">IF(O202&lt;=설명!$B$25,1,0)</f>
        <v>0</v>
      </c>
      <c r="Q202" s="2" t="str">
        <f aca="false">IF(AND(M202=1,P202=1),"① 최우선 지원",IF(P202=1,"② 예방 대상",IF(M202=1,"③ 구조적 공백","④ 관찰")))</f>
        <v>④ 관찰</v>
      </c>
      <c r="R202" s="9" t="n">
        <v>0.0738</v>
      </c>
      <c r="S202" s="2" t="n">
        <f aca="false">RANK(R202,$R$2:$R$230,0)</f>
        <v>209</v>
      </c>
    </row>
    <row r="203" customFormat="false" ht="15" hidden="false" customHeight="false" outlineLevel="0" collapsed="false">
      <c r="A203" s="2" t="s">
        <v>449</v>
      </c>
      <c r="B203" s="3" t="s">
        <v>79</v>
      </c>
      <c r="C203" s="3" t="s">
        <v>450</v>
      </c>
      <c r="D203" s="2" t="n">
        <v>2024</v>
      </c>
      <c r="E203" s="2" t="n">
        <v>2027</v>
      </c>
      <c r="F203" s="2" t="n">
        <v>9905</v>
      </c>
      <c r="G203" s="2" t="n">
        <v>130</v>
      </c>
      <c r="H203" s="8" t="n">
        <v>13.1246845027764</v>
      </c>
      <c r="I203" s="2" t="n">
        <v>14</v>
      </c>
      <c r="J203" s="2" t="n">
        <v>52</v>
      </c>
      <c r="K203" s="2" t="n">
        <f aca="false">IF(H203&lt;=PERCENTILE($H$2:$H$230,설명!$B$26),1,0)</f>
        <v>1</v>
      </c>
      <c r="L203" s="2" t="n">
        <f aca="false">IF(I203=0,1,0)</f>
        <v>0</v>
      </c>
      <c r="M203" s="2" t="n">
        <f aca="false">L203</f>
        <v>0</v>
      </c>
      <c r="N203" s="9" t="n">
        <v>0.0824</v>
      </c>
      <c r="O203" s="2" t="n">
        <f aca="false">RANK(N203,$N$2:$N$230,0)</f>
        <v>202</v>
      </c>
      <c r="P203" s="2" t="n">
        <f aca="false">IF(O203&lt;=설명!$B$25,1,0)</f>
        <v>0</v>
      </c>
      <c r="Q203" s="2" t="str">
        <f aca="false">IF(AND(M203=1,P203=1),"① 최우선 지원",IF(P203=1,"② 예방 대상",IF(M203=1,"③ 구조적 공백","④ 관찰")))</f>
        <v>④ 관찰</v>
      </c>
      <c r="R203" s="9" t="n">
        <v>0.0515</v>
      </c>
      <c r="S203" s="2" t="n">
        <f aca="false">RANK(R203,$R$2:$R$230,0)</f>
        <v>222</v>
      </c>
    </row>
    <row r="204" customFormat="false" ht="15" hidden="false" customHeight="false" outlineLevel="0" collapsed="false">
      <c r="A204" s="2" t="s">
        <v>451</v>
      </c>
      <c r="B204" s="3" t="s">
        <v>153</v>
      </c>
      <c r="C204" s="3" t="s">
        <v>452</v>
      </c>
      <c r="D204" s="2" t="n">
        <v>2024</v>
      </c>
      <c r="E204" s="2" t="n">
        <v>2027</v>
      </c>
      <c r="F204" s="2" t="n">
        <v>522</v>
      </c>
      <c r="G204" s="2" t="n">
        <v>6</v>
      </c>
      <c r="H204" s="8" t="n">
        <v>11.4942528735632</v>
      </c>
      <c r="I204" s="2" t="n">
        <v>0</v>
      </c>
      <c r="J204" s="2" t="n">
        <v>2</v>
      </c>
      <c r="K204" s="2" t="n">
        <f aca="false">IF(H204&lt;=PERCENTILE($H$2:$H$230,설명!$B$26),1,0)</f>
        <v>1</v>
      </c>
      <c r="L204" s="2" t="n">
        <f aca="false">IF(I204=0,1,0)</f>
        <v>1</v>
      </c>
      <c r="M204" s="2" t="n">
        <f aca="false">L204</f>
        <v>1</v>
      </c>
      <c r="N204" s="9" t="n">
        <v>0.0797</v>
      </c>
      <c r="O204" s="2" t="n">
        <f aca="false">RANK(N204,$N$2:$N$230,0)</f>
        <v>203</v>
      </c>
      <c r="P204" s="2" t="n">
        <f aca="false">IF(O204&lt;=설명!$B$25,1,0)</f>
        <v>0</v>
      </c>
      <c r="Q204" s="2" t="str">
        <f aca="false">IF(AND(M204=1,P204=1),"① 최우선 지원",IF(P204=1,"② 예방 대상",IF(M204=1,"③ 구조적 공백","④ 관찰")))</f>
        <v>③ 구조적 공백</v>
      </c>
      <c r="R204" s="9" t="n">
        <v>0.0717</v>
      </c>
      <c r="S204" s="2" t="n">
        <f aca="false">RANK(R204,$R$2:$R$230,0)</f>
        <v>210</v>
      </c>
    </row>
    <row r="205" customFormat="false" ht="15" hidden="false" customHeight="false" outlineLevel="0" collapsed="false">
      <c r="A205" s="2" t="s">
        <v>453</v>
      </c>
      <c r="B205" s="3" t="s">
        <v>90</v>
      </c>
      <c r="C205" s="3" t="s">
        <v>454</v>
      </c>
      <c r="D205" s="2" t="n">
        <v>2024</v>
      </c>
      <c r="E205" s="2" t="n">
        <v>2027</v>
      </c>
      <c r="F205" s="2" t="n">
        <v>1409</v>
      </c>
      <c r="G205" s="2" t="n">
        <v>20</v>
      </c>
      <c r="H205" s="8" t="n">
        <v>14.194464158978</v>
      </c>
      <c r="I205" s="2" t="n">
        <v>0</v>
      </c>
      <c r="J205" s="2" t="n">
        <v>6</v>
      </c>
      <c r="K205" s="2" t="n">
        <f aca="false">IF(H205&lt;=PERCENTILE($H$2:$H$230,설명!$B$26),1,0)</f>
        <v>1</v>
      </c>
      <c r="L205" s="2" t="n">
        <f aca="false">IF(I205=0,1,0)</f>
        <v>1</v>
      </c>
      <c r="M205" s="2" t="n">
        <f aca="false">L205</f>
        <v>1</v>
      </c>
      <c r="N205" s="9" t="n">
        <v>0.0795</v>
      </c>
      <c r="O205" s="2" t="n">
        <f aca="false">RANK(N205,$N$2:$N$230,0)</f>
        <v>204</v>
      </c>
      <c r="P205" s="2" t="n">
        <f aca="false">IF(O205&lt;=설명!$B$25,1,0)</f>
        <v>0</v>
      </c>
      <c r="Q205" s="2" t="str">
        <f aca="false">IF(AND(M205=1,P205=1),"① 최우선 지원",IF(P205=1,"② 예방 대상",IF(M205=1,"③ 구조적 공백","④ 관찰")))</f>
        <v>③ 구조적 공백</v>
      </c>
      <c r="R205" s="9" t="n">
        <v>0.0665</v>
      </c>
      <c r="S205" s="2" t="n">
        <f aca="false">RANK(R205,$R$2:$R$230,0)</f>
        <v>216</v>
      </c>
    </row>
    <row r="206" customFormat="false" ht="15" hidden="false" customHeight="false" outlineLevel="0" collapsed="false">
      <c r="A206" s="2" t="s">
        <v>455</v>
      </c>
      <c r="B206" s="3" t="s">
        <v>199</v>
      </c>
      <c r="C206" s="3" t="s">
        <v>456</v>
      </c>
      <c r="D206" s="2" t="n">
        <v>2024</v>
      </c>
      <c r="E206" s="2" t="n">
        <v>2027</v>
      </c>
      <c r="F206" s="2" t="n">
        <v>518</v>
      </c>
      <c r="G206" s="2" t="n">
        <v>11</v>
      </c>
      <c r="H206" s="8" t="n">
        <v>21.2355212355212</v>
      </c>
      <c r="I206" s="2" t="n">
        <v>0</v>
      </c>
      <c r="J206" s="2" t="n">
        <v>0</v>
      </c>
      <c r="K206" s="2" t="n">
        <f aca="false">IF(H206&lt;=PERCENTILE($H$2:$H$230,설명!$B$26),1,0)</f>
        <v>0</v>
      </c>
      <c r="L206" s="2" t="n">
        <f aca="false">IF(I206=0,1,0)</f>
        <v>1</v>
      </c>
      <c r="M206" s="2" t="n">
        <f aca="false">L206</f>
        <v>1</v>
      </c>
      <c r="N206" s="9" t="n">
        <v>0.0794</v>
      </c>
      <c r="O206" s="2" t="n">
        <f aca="false">RANK(N206,$N$2:$N$230,0)</f>
        <v>205</v>
      </c>
      <c r="P206" s="2" t="n">
        <f aca="false">IF(O206&lt;=설명!$B$25,1,0)</f>
        <v>0</v>
      </c>
      <c r="Q206" s="2" t="str">
        <f aca="false">IF(AND(M206=1,P206=1),"① 최우선 지원",IF(P206=1,"② 예방 대상",IF(M206=1,"③ 구조적 공백","④ 관찰")))</f>
        <v>③ 구조적 공백</v>
      </c>
      <c r="R206" s="9" t="n">
        <v>0.0697</v>
      </c>
      <c r="S206" s="2" t="n">
        <f aca="false">RANK(R206,$R$2:$R$230,0)</f>
        <v>212</v>
      </c>
    </row>
    <row r="207" customFormat="false" ht="15" hidden="false" customHeight="false" outlineLevel="0" collapsed="false">
      <c r="A207" s="2" t="s">
        <v>457</v>
      </c>
      <c r="B207" s="3" t="s">
        <v>66</v>
      </c>
      <c r="C207" s="3" t="s">
        <v>458</v>
      </c>
      <c r="D207" s="2" t="n">
        <v>2024</v>
      </c>
      <c r="E207" s="2" t="n">
        <v>2027</v>
      </c>
      <c r="F207" s="2" t="n">
        <v>14171</v>
      </c>
      <c r="G207" s="2" t="n">
        <v>222</v>
      </c>
      <c r="H207" s="8" t="n">
        <v>15.6657963446475</v>
      </c>
      <c r="I207" s="2" t="n">
        <v>25</v>
      </c>
      <c r="J207" s="2" t="n">
        <v>46</v>
      </c>
      <c r="K207" s="2" t="n">
        <f aca="false">IF(H207&lt;=PERCENTILE($H$2:$H$230,설명!$B$26),1,0)</f>
        <v>0</v>
      </c>
      <c r="L207" s="2" t="n">
        <f aca="false">IF(I207=0,1,0)</f>
        <v>0</v>
      </c>
      <c r="M207" s="2" t="n">
        <f aca="false">L207</f>
        <v>0</v>
      </c>
      <c r="N207" s="9" t="n">
        <v>0.0793</v>
      </c>
      <c r="O207" s="2" t="n">
        <f aca="false">RANK(N207,$N$2:$N$230,0)</f>
        <v>206</v>
      </c>
      <c r="P207" s="2" t="n">
        <f aca="false">IF(O207&lt;=설명!$B$25,1,0)</f>
        <v>0</v>
      </c>
      <c r="Q207" s="2" t="str">
        <f aca="false">IF(AND(M207=1,P207=1),"① 최우선 지원",IF(P207=1,"② 예방 대상",IF(M207=1,"③ 구조적 공백","④ 관찰")))</f>
        <v>④ 관찰</v>
      </c>
      <c r="R207" s="9" t="n">
        <v>0.101</v>
      </c>
      <c r="S207" s="2" t="n">
        <f aca="false">RANK(R207,$R$2:$R$230,0)</f>
        <v>187</v>
      </c>
    </row>
    <row r="208" customFormat="false" ht="15" hidden="false" customHeight="false" outlineLevel="0" collapsed="false">
      <c r="A208" s="2" t="s">
        <v>459</v>
      </c>
      <c r="B208" s="3" t="s">
        <v>120</v>
      </c>
      <c r="C208" s="3" t="s">
        <v>460</v>
      </c>
      <c r="D208" s="2" t="n">
        <v>2024</v>
      </c>
      <c r="E208" s="2" t="n">
        <v>2027</v>
      </c>
      <c r="F208" s="2" t="n">
        <v>9139</v>
      </c>
      <c r="G208" s="2" t="n">
        <v>141</v>
      </c>
      <c r="H208" s="8" t="n">
        <v>15.4283838494365</v>
      </c>
      <c r="I208" s="2" t="n">
        <v>19</v>
      </c>
      <c r="J208" s="2" t="n">
        <v>42</v>
      </c>
      <c r="K208" s="2" t="n">
        <f aca="false">IF(H208&lt;=PERCENTILE($H$2:$H$230,설명!$B$26),1,0)</f>
        <v>0</v>
      </c>
      <c r="L208" s="2" t="n">
        <f aca="false">IF(I208=0,1,0)</f>
        <v>0</v>
      </c>
      <c r="M208" s="2" t="n">
        <f aca="false">L208</f>
        <v>0</v>
      </c>
      <c r="N208" s="9" t="n">
        <v>0.0783</v>
      </c>
      <c r="O208" s="2" t="n">
        <f aca="false">RANK(N208,$N$2:$N$230,0)</f>
        <v>207</v>
      </c>
      <c r="P208" s="2" t="n">
        <f aca="false">IF(O208&lt;=설명!$B$25,1,0)</f>
        <v>0</v>
      </c>
      <c r="Q208" s="2" t="str">
        <f aca="false">IF(AND(M208=1,P208=1),"① 최우선 지원",IF(P208=1,"② 예방 대상",IF(M208=1,"③ 구조적 공백","④ 관찰")))</f>
        <v>④ 관찰</v>
      </c>
      <c r="R208" s="9" t="n">
        <v>0.0717</v>
      </c>
      <c r="S208" s="2" t="n">
        <f aca="false">RANK(R208,$R$2:$R$230,0)</f>
        <v>210</v>
      </c>
    </row>
    <row r="209" customFormat="false" ht="15" hidden="false" customHeight="false" outlineLevel="0" collapsed="false">
      <c r="A209" s="2" t="s">
        <v>461</v>
      </c>
      <c r="B209" s="3" t="s">
        <v>120</v>
      </c>
      <c r="C209" s="3" t="s">
        <v>462</v>
      </c>
      <c r="D209" s="2" t="n">
        <v>2024</v>
      </c>
      <c r="E209" s="2" t="n">
        <v>2027</v>
      </c>
      <c r="F209" s="2" t="n">
        <v>9916</v>
      </c>
      <c r="G209" s="2" t="n">
        <v>155</v>
      </c>
      <c r="H209" s="8" t="n">
        <v>15.6313029447358</v>
      </c>
      <c r="I209" s="2" t="n">
        <v>18</v>
      </c>
      <c r="J209" s="2" t="n">
        <v>46</v>
      </c>
      <c r="K209" s="2" t="n">
        <f aca="false">IF(H209&lt;=PERCENTILE($H$2:$H$230,설명!$B$26),1,0)</f>
        <v>0</v>
      </c>
      <c r="L209" s="2" t="n">
        <f aca="false">IF(I209=0,1,0)</f>
        <v>0</v>
      </c>
      <c r="M209" s="2" t="n">
        <f aca="false">L209</f>
        <v>0</v>
      </c>
      <c r="N209" s="9" t="n">
        <v>0.0783</v>
      </c>
      <c r="O209" s="2" t="n">
        <f aca="false">RANK(N209,$N$2:$N$230,0)</f>
        <v>207</v>
      </c>
      <c r="P209" s="2" t="n">
        <f aca="false">IF(O209&lt;=설명!$B$25,1,0)</f>
        <v>0</v>
      </c>
      <c r="Q209" s="2" t="str">
        <f aca="false">IF(AND(M209=1,P209=1),"① 최우선 지원",IF(P209=1,"② 예방 대상",IF(M209=1,"③ 구조적 공백","④ 관찰")))</f>
        <v>④ 관찰</v>
      </c>
      <c r="R209" s="9" t="n">
        <v>0.0787</v>
      </c>
      <c r="S209" s="2" t="n">
        <f aca="false">RANK(R209,$R$2:$R$230,0)</f>
        <v>206</v>
      </c>
    </row>
    <row r="210" customFormat="false" ht="15" hidden="false" customHeight="false" outlineLevel="0" collapsed="false">
      <c r="A210" s="2" t="s">
        <v>463</v>
      </c>
      <c r="B210" s="3" t="s">
        <v>120</v>
      </c>
      <c r="C210" s="3" t="s">
        <v>464</v>
      </c>
      <c r="D210" s="2" t="n">
        <v>2024</v>
      </c>
      <c r="E210" s="2" t="n">
        <v>2027</v>
      </c>
      <c r="F210" s="2" t="n">
        <v>11914</v>
      </c>
      <c r="G210" s="2" t="n">
        <v>202</v>
      </c>
      <c r="H210" s="8" t="n">
        <v>16.9548430417996</v>
      </c>
      <c r="I210" s="2" t="n">
        <v>21</v>
      </c>
      <c r="J210" s="2" t="n">
        <v>52</v>
      </c>
      <c r="K210" s="2" t="n">
        <f aca="false">IF(H210&lt;=PERCENTILE($H$2:$H$230,설명!$B$26),1,0)</f>
        <v>0</v>
      </c>
      <c r="L210" s="2" t="n">
        <f aca="false">IF(I210=0,1,0)</f>
        <v>0</v>
      </c>
      <c r="M210" s="2" t="n">
        <f aca="false">L210</f>
        <v>0</v>
      </c>
      <c r="N210" s="9" t="n">
        <v>0.0771</v>
      </c>
      <c r="O210" s="2" t="n">
        <f aca="false">RANK(N210,$N$2:$N$230,0)</f>
        <v>209</v>
      </c>
      <c r="P210" s="2" t="n">
        <f aca="false">IF(O210&lt;=설명!$B$25,1,0)</f>
        <v>0</v>
      </c>
      <c r="Q210" s="2" t="str">
        <f aca="false">IF(AND(M210=1,P210=1),"① 최우선 지원",IF(P210=1,"② 예방 대상",IF(M210=1,"③ 구조적 공백","④ 관찰")))</f>
        <v>④ 관찰</v>
      </c>
      <c r="R210" s="9" t="n">
        <v>0.0788</v>
      </c>
      <c r="S210" s="2" t="n">
        <f aca="false">RANK(R210,$R$2:$R$230,0)</f>
        <v>205</v>
      </c>
    </row>
    <row r="211" customFormat="false" ht="15" hidden="false" customHeight="false" outlineLevel="0" collapsed="false">
      <c r="A211" s="2" t="s">
        <v>465</v>
      </c>
      <c r="B211" s="3" t="s">
        <v>120</v>
      </c>
      <c r="C211" s="3" t="s">
        <v>466</v>
      </c>
      <c r="D211" s="2" t="n">
        <v>2024</v>
      </c>
      <c r="E211" s="2" t="n">
        <v>2027</v>
      </c>
      <c r="F211" s="2" t="n">
        <v>16241</v>
      </c>
      <c r="G211" s="2" t="n">
        <v>232</v>
      </c>
      <c r="H211" s="8" t="n">
        <v>14.2848346776676</v>
      </c>
      <c r="I211" s="2" t="n">
        <v>24</v>
      </c>
      <c r="J211" s="2" t="n">
        <v>63</v>
      </c>
      <c r="K211" s="2" t="n">
        <f aca="false">IF(H211&lt;=PERCENTILE($H$2:$H$230,설명!$B$26),1,0)</f>
        <v>1</v>
      </c>
      <c r="L211" s="2" t="n">
        <f aca="false">IF(I211=0,1,0)</f>
        <v>0</v>
      </c>
      <c r="M211" s="2" t="n">
        <f aca="false">L211</f>
        <v>0</v>
      </c>
      <c r="N211" s="9" t="n">
        <v>0.075</v>
      </c>
      <c r="O211" s="2" t="n">
        <f aca="false">RANK(N211,$N$2:$N$230,0)</f>
        <v>210</v>
      </c>
      <c r="P211" s="2" t="n">
        <f aca="false">IF(O211&lt;=설명!$B$25,1,0)</f>
        <v>0</v>
      </c>
      <c r="Q211" s="2" t="str">
        <f aca="false">IF(AND(M211=1,P211=1),"① 최우선 지원",IF(P211=1,"② 예방 대상",IF(M211=1,"③ 구조적 공백","④ 관찰")))</f>
        <v>④ 관찰</v>
      </c>
      <c r="R211" s="9" t="n">
        <v>0.0882</v>
      </c>
      <c r="S211" s="2" t="n">
        <f aca="false">RANK(R211,$R$2:$R$230,0)</f>
        <v>199</v>
      </c>
    </row>
    <row r="212" customFormat="false" ht="15" hidden="false" customHeight="false" outlineLevel="0" collapsed="false">
      <c r="A212" s="2" t="s">
        <v>467</v>
      </c>
      <c r="B212" s="3" t="s">
        <v>120</v>
      </c>
      <c r="C212" s="3" t="s">
        <v>468</v>
      </c>
      <c r="D212" s="2" t="n">
        <v>2024</v>
      </c>
      <c r="E212" s="2" t="n">
        <v>2027</v>
      </c>
      <c r="F212" s="2" t="n">
        <v>12740</v>
      </c>
      <c r="G212" s="2" t="n">
        <v>157</v>
      </c>
      <c r="H212" s="8" t="n">
        <v>12.3233908948195</v>
      </c>
      <c r="I212" s="2" t="n">
        <v>23</v>
      </c>
      <c r="J212" s="2" t="n">
        <v>114</v>
      </c>
      <c r="K212" s="2" t="n">
        <f aca="false">IF(H212&lt;=PERCENTILE($H$2:$H$230,설명!$B$26),1,0)</f>
        <v>1</v>
      </c>
      <c r="L212" s="2" t="n">
        <f aca="false">IF(I212=0,1,0)</f>
        <v>0</v>
      </c>
      <c r="M212" s="2" t="n">
        <f aca="false">L212</f>
        <v>0</v>
      </c>
      <c r="N212" s="9" t="n">
        <v>0.0731</v>
      </c>
      <c r="O212" s="2" t="n">
        <f aca="false">RANK(N212,$N$2:$N$230,0)</f>
        <v>211</v>
      </c>
      <c r="P212" s="2" t="n">
        <f aca="false">IF(O212&lt;=설명!$B$25,1,0)</f>
        <v>0</v>
      </c>
      <c r="Q212" s="2" t="str">
        <f aca="false">IF(AND(M212=1,P212=1),"① 최우선 지원",IF(P212=1,"② 예방 대상",IF(M212=1,"③ 구조적 공백","④ 관찰")))</f>
        <v>④ 관찰</v>
      </c>
      <c r="R212" s="9" t="n">
        <v>0.0659</v>
      </c>
      <c r="S212" s="2" t="n">
        <f aca="false">RANK(R212,$R$2:$R$230,0)</f>
        <v>217</v>
      </c>
    </row>
    <row r="213" customFormat="false" ht="15" hidden="false" customHeight="false" outlineLevel="0" collapsed="false">
      <c r="A213" s="2" t="s">
        <v>469</v>
      </c>
      <c r="B213" s="3" t="s">
        <v>199</v>
      </c>
      <c r="C213" s="3" t="s">
        <v>470</v>
      </c>
      <c r="D213" s="2" t="n">
        <v>2024</v>
      </c>
      <c r="E213" s="2" t="n">
        <v>2027</v>
      </c>
      <c r="F213" s="2" t="n">
        <v>392</v>
      </c>
      <c r="G213" s="2" t="n">
        <v>12</v>
      </c>
      <c r="H213" s="8" t="n">
        <v>30.6122448979592</v>
      </c>
      <c r="I213" s="2" t="n">
        <v>0</v>
      </c>
      <c r="J213" s="2" t="n">
        <v>0</v>
      </c>
      <c r="K213" s="2" t="n">
        <f aca="false">IF(H213&lt;=PERCENTILE($H$2:$H$230,설명!$B$26),1,0)</f>
        <v>0</v>
      </c>
      <c r="L213" s="2" t="n">
        <f aca="false">IF(I213=0,1,0)</f>
        <v>1</v>
      </c>
      <c r="M213" s="2" t="n">
        <f aca="false">L213</f>
        <v>1</v>
      </c>
      <c r="N213" s="9" t="n">
        <v>0.0729</v>
      </c>
      <c r="O213" s="2" t="n">
        <f aca="false">RANK(N213,$N$2:$N$230,0)</f>
        <v>212</v>
      </c>
      <c r="P213" s="2" t="n">
        <f aca="false">IF(O213&lt;=설명!$B$25,1,0)</f>
        <v>0</v>
      </c>
      <c r="Q213" s="2" t="str">
        <f aca="false">IF(AND(M213=1,P213=1),"① 최우선 지원",IF(P213=1,"② 예방 대상",IF(M213=1,"③ 구조적 공백","④ 관찰")))</f>
        <v>③ 구조적 공백</v>
      </c>
      <c r="R213" s="9" t="n">
        <v>0.0667</v>
      </c>
      <c r="S213" s="2" t="n">
        <f aca="false">RANK(R213,$R$2:$R$230,0)</f>
        <v>215</v>
      </c>
    </row>
    <row r="214" customFormat="false" ht="15" hidden="false" customHeight="false" outlineLevel="0" collapsed="false">
      <c r="A214" s="2" t="s">
        <v>471</v>
      </c>
      <c r="B214" s="3" t="s">
        <v>120</v>
      </c>
      <c r="C214" s="3" t="s">
        <v>472</v>
      </c>
      <c r="D214" s="2" t="n">
        <v>2024</v>
      </c>
      <c r="E214" s="2" t="n">
        <v>2027</v>
      </c>
      <c r="F214" s="2" t="n">
        <v>15427</v>
      </c>
      <c r="G214" s="2" t="n">
        <v>174</v>
      </c>
      <c r="H214" s="8" t="n">
        <v>11.2789265573345</v>
      </c>
      <c r="I214" s="2" t="n">
        <v>36</v>
      </c>
      <c r="J214" s="2" t="n">
        <v>202</v>
      </c>
      <c r="K214" s="2" t="n">
        <f aca="false">IF(H214&lt;=PERCENTILE($H$2:$H$230,설명!$B$26),1,0)</f>
        <v>1</v>
      </c>
      <c r="L214" s="2" t="n">
        <f aca="false">IF(I214=0,1,0)</f>
        <v>0</v>
      </c>
      <c r="M214" s="2" t="n">
        <f aca="false">L214</f>
        <v>0</v>
      </c>
      <c r="N214" s="9" t="n">
        <v>0.0717</v>
      </c>
      <c r="O214" s="2" t="n">
        <f aca="false">RANK(N214,$N$2:$N$230,0)</f>
        <v>213</v>
      </c>
      <c r="P214" s="2" t="n">
        <f aca="false">IF(O214&lt;=설명!$B$25,1,0)</f>
        <v>0</v>
      </c>
      <c r="Q214" s="2" t="str">
        <f aca="false">IF(AND(M214=1,P214=1),"① 최우선 지원",IF(P214=1,"② 예방 대상",IF(M214=1,"③ 구조적 공백","④ 관찰")))</f>
        <v>④ 관찰</v>
      </c>
      <c r="R214" s="9" t="n">
        <v>0.0656</v>
      </c>
      <c r="S214" s="2" t="n">
        <f aca="false">RANK(R214,$R$2:$R$230,0)</f>
        <v>218</v>
      </c>
    </row>
    <row r="215" customFormat="false" ht="15" hidden="false" customHeight="false" outlineLevel="0" collapsed="false">
      <c r="A215" s="2" t="s">
        <v>473</v>
      </c>
      <c r="B215" s="3" t="s">
        <v>204</v>
      </c>
      <c r="C215" s="3" t="s">
        <v>474</v>
      </c>
      <c r="D215" s="2" t="n">
        <v>2024</v>
      </c>
      <c r="E215" s="2" t="n">
        <v>2027</v>
      </c>
      <c r="F215" s="2" t="n">
        <v>1231</v>
      </c>
      <c r="G215" s="2" t="n">
        <v>22</v>
      </c>
      <c r="H215" s="8" t="n">
        <v>17.8716490658002</v>
      </c>
      <c r="I215" s="2" t="n">
        <v>0</v>
      </c>
      <c r="J215" s="2" t="n">
        <v>1</v>
      </c>
      <c r="K215" s="2" t="n">
        <f aca="false">IF(H215&lt;=PERCENTILE($H$2:$H$230,설명!$B$26),1,0)</f>
        <v>0</v>
      </c>
      <c r="L215" s="2" t="n">
        <f aca="false">IF(I215=0,1,0)</f>
        <v>1</v>
      </c>
      <c r="M215" s="2" t="n">
        <f aca="false">L215</f>
        <v>1</v>
      </c>
      <c r="N215" s="9" t="n">
        <v>0.0702</v>
      </c>
      <c r="O215" s="2" t="n">
        <f aca="false">RANK(N215,$N$2:$N$230,0)</f>
        <v>214</v>
      </c>
      <c r="P215" s="2" t="n">
        <f aca="false">IF(O215&lt;=설명!$B$25,1,0)</f>
        <v>0</v>
      </c>
      <c r="Q215" s="2" t="str">
        <f aca="false">IF(AND(M215=1,P215=1),"① 최우선 지원",IF(P215=1,"② 예방 대상",IF(M215=1,"③ 구조적 공백","④ 관찰")))</f>
        <v>③ 구조적 공백</v>
      </c>
      <c r="R215" s="9" t="n">
        <v>0.0892</v>
      </c>
      <c r="S215" s="2" t="n">
        <f aca="false">RANK(R215,$R$2:$R$230,0)</f>
        <v>198</v>
      </c>
    </row>
    <row r="216" customFormat="false" ht="15" hidden="false" customHeight="false" outlineLevel="0" collapsed="false">
      <c r="A216" s="2" t="s">
        <v>475</v>
      </c>
      <c r="B216" s="3" t="s">
        <v>90</v>
      </c>
      <c r="C216" s="3" t="s">
        <v>476</v>
      </c>
      <c r="D216" s="2" t="n">
        <v>2024</v>
      </c>
      <c r="E216" s="2" t="n">
        <v>2027</v>
      </c>
      <c r="F216" s="2" t="n">
        <v>635</v>
      </c>
      <c r="G216" s="2" t="n">
        <v>11</v>
      </c>
      <c r="H216" s="8" t="n">
        <v>17.3228346456693</v>
      </c>
      <c r="I216" s="2" t="n">
        <v>0</v>
      </c>
      <c r="J216" s="2" t="n">
        <v>2</v>
      </c>
      <c r="K216" s="2" t="n">
        <f aca="false">IF(H216&lt;=PERCENTILE($H$2:$H$230,설명!$B$26),1,0)</f>
        <v>0</v>
      </c>
      <c r="L216" s="2" t="n">
        <f aca="false">IF(I216=0,1,0)</f>
        <v>1</v>
      </c>
      <c r="M216" s="2" t="n">
        <f aca="false">L216</f>
        <v>1</v>
      </c>
      <c r="N216" s="9" t="n">
        <v>0.0701</v>
      </c>
      <c r="O216" s="2" t="n">
        <f aca="false">RANK(N216,$N$2:$N$230,0)</f>
        <v>215</v>
      </c>
      <c r="P216" s="2" t="n">
        <f aca="false">IF(O216&lt;=설명!$B$25,1,0)</f>
        <v>0</v>
      </c>
      <c r="Q216" s="2" t="str">
        <f aca="false">IF(AND(M216=1,P216=1),"① 최우선 지원",IF(P216=1,"② 예방 대상",IF(M216=1,"③ 구조적 공백","④ 관찰")))</f>
        <v>③ 구조적 공백</v>
      </c>
      <c r="R216" s="9" t="n">
        <v>0.069</v>
      </c>
      <c r="S216" s="2" t="n">
        <f aca="false">RANK(R216,$R$2:$R$230,0)</f>
        <v>213</v>
      </c>
    </row>
    <row r="217" customFormat="false" ht="15" hidden="false" customHeight="false" outlineLevel="0" collapsed="false">
      <c r="A217" s="2" t="s">
        <v>477</v>
      </c>
      <c r="B217" s="3" t="s">
        <v>66</v>
      </c>
      <c r="C217" s="3" t="s">
        <v>478</v>
      </c>
      <c r="D217" s="2" t="n">
        <v>2024</v>
      </c>
      <c r="E217" s="2" t="n">
        <v>2027</v>
      </c>
      <c r="F217" s="2" t="n">
        <v>25245</v>
      </c>
      <c r="G217" s="2" t="n">
        <v>378</v>
      </c>
      <c r="H217" s="8" t="n">
        <v>14.9732620320856</v>
      </c>
      <c r="I217" s="2" t="n">
        <v>24</v>
      </c>
      <c r="J217" s="2" t="n">
        <v>58</v>
      </c>
      <c r="K217" s="2" t="n">
        <f aca="false">IF(H217&lt;=PERCENTILE($H$2:$H$230,설명!$B$26),1,0)</f>
        <v>1</v>
      </c>
      <c r="L217" s="2" t="n">
        <f aca="false">IF(I217=0,1,0)</f>
        <v>0</v>
      </c>
      <c r="M217" s="2" t="n">
        <f aca="false">L217</f>
        <v>0</v>
      </c>
      <c r="N217" s="9" t="n">
        <v>0.0694</v>
      </c>
      <c r="O217" s="2" t="n">
        <f aca="false">RANK(N217,$N$2:$N$230,0)</f>
        <v>216</v>
      </c>
      <c r="P217" s="2" t="n">
        <f aca="false">IF(O217&lt;=설명!$B$25,1,0)</f>
        <v>0</v>
      </c>
      <c r="Q217" s="2" t="str">
        <f aca="false">IF(AND(M217=1,P217=1),"① 최우선 지원",IF(P217=1,"② 예방 대상",IF(M217=1,"③ 구조적 공백","④ 관찰")))</f>
        <v>④ 관찰</v>
      </c>
      <c r="R217" s="9" t="n">
        <v>0.0947</v>
      </c>
      <c r="S217" s="2" t="n">
        <f aca="false">RANK(R217,$R$2:$R$230,0)</f>
        <v>191</v>
      </c>
    </row>
    <row r="218" customFormat="false" ht="15" hidden="false" customHeight="false" outlineLevel="0" collapsed="false">
      <c r="A218" s="2" t="s">
        <v>479</v>
      </c>
      <c r="B218" s="3" t="s">
        <v>66</v>
      </c>
      <c r="C218" s="3" t="s">
        <v>480</v>
      </c>
      <c r="D218" s="2" t="n">
        <v>2024</v>
      </c>
      <c r="E218" s="2" t="n">
        <v>2027</v>
      </c>
      <c r="F218" s="2" t="n">
        <v>19207</v>
      </c>
      <c r="G218" s="2" t="n">
        <v>324</v>
      </c>
      <c r="H218" s="8" t="n">
        <v>16.8688498984745</v>
      </c>
      <c r="I218" s="2" t="n">
        <v>29</v>
      </c>
      <c r="J218" s="2" t="n">
        <v>77</v>
      </c>
      <c r="K218" s="2" t="n">
        <f aca="false">IF(H218&lt;=PERCENTILE($H$2:$H$230,설명!$B$26),1,0)</f>
        <v>0</v>
      </c>
      <c r="L218" s="2" t="n">
        <f aca="false">IF(I218=0,1,0)</f>
        <v>0</v>
      </c>
      <c r="M218" s="2" t="n">
        <f aca="false">L218</f>
        <v>0</v>
      </c>
      <c r="N218" s="9" t="n">
        <v>0.0692</v>
      </c>
      <c r="O218" s="2" t="n">
        <f aca="false">RANK(N218,$N$2:$N$230,0)</f>
        <v>217</v>
      </c>
      <c r="P218" s="2" t="n">
        <f aca="false">IF(O218&lt;=설명!$B$25,1,0)</f>
        <v>0</v>
      </c>
      <c r="Q218" s="2" t="str">
        <f aca="false">IF(AND(M218=1,P218=1),"① 최우선 지원",IF(P218=1,"② 예방 대상",IF(M218=1,"③ 구조적 공백","④ 관찰")))</f>
        <v>④ 관찰</v>
      </c>
      <c r="R218" s="9" t="n">
        <v>0.0772</v>
      </c>
      <c r="S218" s="2" t="n">
        <f aca="false">RANK(R218,$R$2:$R$230,0)</f>
        <v>207</v>
      </c>
    </row>
    <row r="219" customFormat="false" ht="15" hidden="false" customHeight="false" outlineLevel="0" collapsed="false">
      <c r="A219" s="2" t="s">
        <v>481</v>
      </c>
      <c r="B219" s="3" t="s">
        <v>71</v>
      </c>
      <c r="C219" s="3" t="s">
        <v>482</v>
      </c>
      <c r="D219" s="2" t="n">
        <v>2024</v>
      </c>
      <c r="E219" s="2" t="n">
        <v>2027</v>
      </c>
      <c r="F219" s="2" t="n">
        <v>16386</v>
      </c>
      <c r="G219" s="2" t="n">
        <v>247</v>
      </c>
      <c r="H219" s="8" t="n">
        <v>15.0738435249603</v>
      </c>
      <c r="I219" s="2" t="n">
        <v>20</v>
      </c>
      <c r="J219" s="2" t="n">
        <v>44</v>
      </c>
      <c r="K219" s="2" t="n">
        <f aca="false">IF(H219&lt;=PERCENTILE($H$2:$H$230,설명!$B$26),1,0)</f>
        <v>1</v>
      </c>
      <c r="L219" s="2" t="n">
        <f aca="false">IF(I219=0,1,0)</f>
        <v>0</v>
      </c>
      <c r="M219" s="2" t="n">
        <f aca="false">L219</f>
        <v>0</v>
      </c>
      <c r="N219" s="9" t="n">
        <v>0.0667</v>
      </c>
      <c r="O219" s="2" t="n">
        <f aca="false">RANK(N219,$N$2:$N$230,0)</f>
        <v>218</v>
      </c>
      <c r="P219" s="2" t="n">
        <f aca="false">IF(O219&lt;=설명!$B$25,1,0)</f>
        <v>0</v>
      </c>
      <c r="Q219" s="2" t="str">
        <f aca="false">IF(AND(M219=1,P219=1),"① 최우선 지원",IF(P219=1,"② 예방 대상",IF(M219=1,"③ 구조적 공백","④ 관찰")))</f>
        <v>④ 관찰</v>
      </c>
      <c r="R219" s="9" t="n">
        <v>0.0354</v>
      </c>
      <c r="S219" s="2" t="n">
        <f aca="false">RANK(R219,$R$2:$R$230,0)</f>
        <v>229</v>
      </c>
    </row>
    <row r="220" customFormat="false" ht="15" hidden="false" customHeight="false" outlineLevel="0" collapsed="false">
      <c r="A220" s="2" t="s">
        <v>483</v>
      </c>
      <c r="B220" s="3" t="s">
        <v>66</v>
      </c>
      <c r="C220" s="3" t="s">
        <v>484</v>
      </c>
      <c r="D220" s="2" t="n">
        <v>2024</v>
      </c>
      <c r="E220" s="2" t="n">
        <v>2027</v>
      </c>
      <c r="F220" s="2" t="n">
        <v>12376</v>
      </c>
      <c r="G220" s="2" t="n">
        <v>205</v>
      </c>
      <c r="H220" s="8" t="n">
        <v>16.5643180349063</v>
      </c>
      <c r="I220" s="2" t="n">
        <v>15</v>
      </c>
      <c r="J220" s="2" t="n">
        <v>24</v>
      </c>
      <c r="K220" s="2" t="n">
        <f aca="false">IF(H220&lt;=PERCENTILE($H$2:$H$230,설명!$B$26),1,0)</f>
        <v>0</v>
      </c>
      <c r="L220" s="2" t="n">
        <f aca="false">IF(I220=0,1,0)</f>
        <v>0</v>
      </c>
      <c r="M220" s="2" t="n">
        <f aca="false">L220</f>
        <v>0</v>
      </c>
      <c r="N220" s="9" t="n">
        <v>0.0666</v>
      </c>
      <c r="O220" s="2" t="n">
        <f aca="false">RANK(N220,$N$2:$N$230,0)</f>
        <v>219</v>
      </c>
      <c r="P220" s="2" t="n">
        <f aca="false">IF(O220&lt;=설명!$B$25,1,0)</f>
        <v>0</v>
      </c>
      <c r="Q220" s="2" t="str">
        <f aca="false">IF(AND(M220=1,P220=1),"① 최우선 지원",IF(P220=1,"② 예방 대상",IF(M220=1,"③ 구조적 공백","④ 관찰")))</f>
        <v>④ 관찰</v>
      </c>
      <c r="R220" s="9" t="n">
        <v>0.0893</v>
      </c>
      <c r="S220" s="2" t="n">
        <f aca="false">RANK(R220,$R$2:$R$230,0)</f>
        <v>196</v>
      </c>
    </row>
    <row r="221" customFormat="false" ht="15" hidden="false" customHeight="false" outlineLevel="0" collapsed="false">
      <c r="A221" s="2" t="s">
        <v>485</v>
      </c>
      <c r="B221" s="3" t="s">
        <v>76</v>
      </c>
      <c r="C221" s="3" t="s">
        <v>486</v>
      </c>
      <c r="D221" s="2" t="n">
        <v>2024</v>
      </c>
      <c r="E221" s="2" t="n">
        <v>2027</v>
      </c>
      <c r="F221" s="2" t="n">
        <v>840</v>
      </c>
      <c r="G221" s="2" t="n">
        <v>13</v>
      </c>
      <c r="H221" s="8" t="n">
        <v>15.4761904761905</v>
      </c>
      <c r="I221" s="2" t="n">
        <v>0</v>
      </c>
      <c r="J221" s="2" t="n">
        <v>3</v>
      </c>
      <c r="K221" s="2" t="n">
        <f aca="false">IF(H221&lt;=PERCENTILE($H$2:$H$230,설명!$B$26),1,0)</f>
        <v>0</v>
      </c>
      <c r="L221" s="2" t="n">
        <f aca="false">IF(I221=0,1,0)</f>
        <v>1</v>
      </c>
      <c r="M221" s="2" t="n">
        <f aca="false">L221</f>
        <v>1</v>
      </c>
      <c r="N221" s="9" t="n">
        <v>0.0621</v>
      </c>
      <c r="O221" s="2" t="n">
        <f aca="false">RANK(N221,$N$2:$N$230,0)</f>
        <v>220</v>
      </c>
      <c r="P221" s="2" t="n">
        <f aca="false">IF(O221&lt;=설명!$B$25,1,0)</f>
        <v>0</v>
      </c>
      <c r="Q221" s="2" t="str">
        <f aca="false">IF(AND(M221=1,P221=1),"① 최우선 지원",IF(P221=1,"② 예방 대상",IF(M221=1,"③ 구조적 공백","④ 관찰")))</f>
        <v>③ 구조적 공백</v>
      </c>
      <c r="R221" s="9" t="n">
        <v>0.0516</v>
      </c>
      <c r="S221" s="2" t="n">
        <f aca="false">RANK(R221,$R$2:$R$230,0)</f>
        <v>221</v>
      </c>
    </row>
    <row r="222" customFormat="false" ht="15" hidden="false" customHeight="false" outlineLevel="0" collapsed="false">
      <c r="A222" s="2" t="s">
        <v>487</v>
      </c>
      <c r="B222" s="3" t="s">
        <v>120</v>
      </c>
      <c r="C222" s="3" t="s">
        <v>488</v>
      </c>
      <c r="D222" s="2" t="n">
        <v>2024</v>
      </c>
      <c r="E222" s="2" t="n">
        <v>2027</v>
      </c>
      <c r="F222" s="2" t="n">
        <v>11444</v>
      </c>
      <c r="G222" s="2" t="n">
        <v>176</v>
      </c>
      <c r="H222" s="8" t="n">
        <v>15.3792380286613</v>
      </c>
      <c r="I222" s="2" t="n">
        <v>17</v>
      </c>
      <c r="J222" s="2" t="n">
        <v>60</v>
      </c>
      <c r="K222" s="2" t="n">
        <f aca="false">IF(H222&lt;=PERCENTILE($H$2:$H$230,설명!$B$26),1,0)</f>
        <v>0</v>
      </c>
      <c r="L222" s="2" t="n">
        <f aca="false">IF(I222=0,1,0)</f>
        <v>0</v>
      </c>
      <c r="M222" s="2" t="n">
        <f aca="false">L222</f>
        <v>0</v>
      </c>
      <c r="N222" s="9" t="n">
        <v>0.061</v>
      </c>
      <c r="O222" s="2" t="n">
        <f aca="false">RANK(N222,$N$2:$N$230,0)</f>
        <v>221</v>
      </c>
      <c r="P222" s="2" t="n">
        <f aca="false">IF(O222&lt;=설명!$B$25,1,0)</f>
        <v>0</v>
      </c>
      <c r="Q222" s="2" t="str">
        <f aca="false">IF(AND(M222=1,P222=1),"① 최우선 지원",IF(P222=1,"② 예방 대상",IF(M222=1,"③ 구조적 공백","④ 관찰")))</f>
        <v>④ 관찰</v>
      </c>
      <c r="R222" s="9" t="n">
        <v>0.0507</v>
      </c>
      <c r="S222" s="2" t="n">
        <f aca="false">RANK(R222,$R$2:$R$230,0)</f>
        <v>223</v>
      </c>
    </row>
    <row r="223" customFormat="false" ht="15" hidden="false" customHeight="false" outlineLevel="0" collapsed="false">
      <c r="A223" s="2" t="s">
        <v>489</v>
      </c>
      <c r="B223" s="3" t="s">
        <v>204</v>
      </c>
      <c r="C223" s="3" t="s">
        <v>490</v>
      </c>
      <c r="D223" s="2" t="n">
        <v>2024</v>
      </c>
      <c r="E223" s="2" t="n">
        <v>2027</v>
      </c>
      <c r="F223" s="2" t="n">
        <v>614</v>
      </c>
      <c r="G223" s="2" t="n">
        <v>13</v>
      </c>
      <c r="H223" s="8" t="n">
        <v>21.1726384364821</v>
      </c>
      <c r="I223" s="2" t="n">
        <v>0</v>
      </c>
      <c r="J223" s="2" t="n">
        <v>2</v>
      </c>
      <c r="K223" s="2" t="n">
        <f aca="false">IF(H223&lt;=PERCENTILE($H$2:$H$230,설명!$B$26),1,0)</f>
        <v>0</v>
      </c>
      <c r="L223" s="2" t="n">
        <f aca="false">IF(I223=0,1,0)</f>
        <v>1</v>
      </c>
      <c r="M223" s="2" t="n">
        <f aca="false">L223</f>
        <v>1</v>
      </c>
      <c r="N223" s="9" t="n">
        <v>0.057</v>
      </c>
      <c r="O223" s="2" t="n">
        <f aca="false">RANK(N223,$N$2:$N$230,0)</f>
        <v>222</v>
      </c>
      <c r="P223" s="2" t="n">
        <f aca="false">IF(O223&lt;=설명!$B$25,1,0)</f>
        <v>0</v>
      </c>
      <c r="Q223" s="2" t="str">
        <f aca="false">IF(AND(M223=1,P223=1),"① 최우선 지원",IF(P223=1,"② 예방 대상",IF(M223=1,"③ 구조적 공백","④ 관찰")))</f>
        <v>③ 구조적 공백</v>
      </c>
      <c r="R223" s="9" t="n">
        <v>0.0421</v>
      </c>
      <c r="S223" s="2" t="n">
        <f aca="false">RANK(R223,$R$2:$R$230,0)</f>
        <v>226</v>
      </c>
    </row>
    <row r="224" customFormat="false" ht="15" hidden="false" customHeight="false" outlineLevel="0" collapsed="false">
      <c r="A224" s="2" t="s">
        <v>491</v>
      </c>
      <c r="B224" s="3" t="s">
        <v>66</v>
      </c>
      <c r="C224" s="3" t="s">
        <v>492</v>
      </c>
      <c r="D224" s="2" t="n">
        <v>2024</v>
      </c>
      <c r="E224" s="2" t="n">
        <v>2027</v>
      </c>
      <c r="F224" s="2" t="n">
        <v>19948</v>
      </c>
      <c r="G224" s="2" t="n">
        <v>345</v>
      </c>
      <c r="H224" s="8" t="n">
        <v>17.2949669139763</v>
      </c>
      <c r="I224" s="2" t="n">
        <v>25</v>
      </c>
      <c r="J224" s="2" t="n">
        <v>59</v>
      </c>
      <c r="K224" s="2" t="n">
        <f aca="false">IF(H224&lt;=PERCENTILE($H$2:$H$230,설명!$B$26),1,0)</f>
        <v>0</v>
      </c>
      <c r="L224" s="2" t="n">
        <f aca="false">IF(I224=0,1,0)</f>
        <v>0</v>
      </c>
      <c r="M224" s="2" t="n">
        <f aca="false">L224</f>
        <v>0</v>
      </c>
      <c r="N224" s="9" t="n">
        <v>0.0536</v>
      </c>
      <c r="O224" s="2" t="n">
        <f aca="false">RANK(N224,$N$2:$N$230,0)</f>
        <v>223</v>
      </c>
      <c r="P224" s="2" t="n">
        <f aca="false">IF(O224&lt;=설명!$B$25,1,0)</f>
        <v>0</v>
      </c>
      <c r="Q224" s="2" t="str">
        <f aca="false">IF(AND(M224=1,P224=1),"① 최우선 지원",IF(P224=1,"② 예방 대상",IF(M224=1,"③ 구조적 공백","④ 관찰")))</f>
        <v>④ 관찰</v>
      </c>
      <c r="R224" s="9" t="n">
        <v>0.0765</v>
      </c>
      <c r="S224" s="2" t="n">
        <f aca="false">RANK(R224,$R$2:$R$230,0)</f>
        <v>208</v>
      </c>
    </row>
    <row r="225" customFormat="false" ht="15" hidden="false" customHeight="false" outlineLevel="0" collapsed="false">
      <c r="A225" s="2" t="s">
        <v>493</v>
      </c>
      <c r="B225" s="3" t="s">
        <v>90</v>
      </c>
      <c r="C225" s="3" t="s">
        <v>494</v>
      </c>
      <c r="D225" s="2" t="n">
        <v>2024</v>
      </c>
      <c r="E225" s="2" t="n">
        <v>2027</v>
      </c>
      <c r="F225" s="2" t="n">
        <v>518</v>
      </c>
      <c r="G225" s="2" t="n">
        <v>11</v>
      </c>
      <c r="H225" s="8" t="n">
        <v>21.2355212355212</v>
      </c>
      <c r="I225" s="2" t="n">
        <v>0</v>
      </c>
      <c r="J225" s="2" t="n">
        <v>0</v>
      </c>
      <c r="K225" s="2" t="n">
        <f aca="false">IF(H225&lt;=PERCENTILE($H$2:$H$230,설명!$B$26),1,0)</f>
        <v>0</v>
      </c>
      <c r="L225" s="2" t="n">
        <f aca="false">IF(I225=0,1,0)</f>
        <v>1</v>
      </c>
      <c r="M225" s="2" t="n">
        <f aca="false">L225</f>
        <v>1</v>
      </c>
      <c r="N225" s="9" t="n">
        <v>0.0501</v>
      </c>
      <c r="O225" s="2" t="n">
        <f aca="false">RANK(N225,$N$2:$N$230,0)</f>
        <v>224</v>
      </c>
      <c r="P225" s="2" t="n">
        <f aca="false">IF(O225&lt;=설명!$B$25,1,0)</f>
        <v>0</v>
      </c>
      <c r="Q225" s="2" t="str">
        <f aca="false">IF(AND(M225=1,P225=1),"① 최우선 지원",IF(P225=1,"② 예방 대상",IF(M225=1,"③ 구조적 공백","④ 관찰")))</f>
        <v>③ 구조적 공백</v>
      </c>
      <c r="R225" s="9" t="n">
        <v>0.0518</v>
      </c>
      <c r="S225" s="2" t="n">
        <f aca="false">RANK(R225,$R$2:$R$230,0)</f>
        <v>220</v>
      </c>
    </row>
    <row r="226" customFormat="false" ht="15" hidden="false" customHeight="false" outlineLevel="0" collapsed="false">
      <c r="A226" s="2" t="s">
        <v>495</v>
      </c>
      <c r="B226" s="3" t="s">
        <v>153</v>
      </c>
      <c r="C226" s="3" t="s">
        <v>496</v>
      </c>
      <c r="D226" s="2" t="n">
        <v>2024</v>
      </c>
      <c r="E226" s="2" t="n">
        <v>2027</v>
      </c>
      <c r="F226" s="2" t="n">
        <v>934</v>
      </c>
      <c r="G226" s="2" t="n">
        <v>20</v>
      </c>
      <c r="H226" s="8" t="n">
        <v>21.4132762312634</v>
      </c>
      <c r="I226" s="2" t="n">
        <v>0</v>
      </c>
      <c r="J226" s="2" t="n">
        <v>2</v>
      </c>
      <c r="K226" s="2" t="n">
        <f aca="false">IF(H226&lt;=PERCENTILE($H$2:$H$230,설명!$B$26),1,0)</f>
        <v>0</v>
      </c>
      <c r="L226" s="2" t="n">
        <f aca="false">IF(I226=0,1,0)</f>
        <v>1</v>
      </c>
      <c r="M226" s="2" t="n">
        <f aca="false">L226</f>
        <v>1</v>
      </c>
      <c r="N226" s="9" t="n">
        <v>0.0498</v>
      </c>
      <c r="O226" s="2" t="n">
        <f aca="false">RANK(N226,$N$2:$N$230,0)</f>
        <v>225</v>
      </c>
      <c r="P226" s="2" t="n">
        <f aca="false">IF(O226&lt;=설명!$B$25,1,0)</f>
        <v>0</v>
      </c>
      <c r="Q226" s="2" t="str">
        <f aca="false">IF(AND(M226=1,P226=1),"① 최우선 지원",IF(P226=1,"② 예방 대상",IF(M226=1,"③ 구조적 공백","④ 관찰")))</f>
        <v>③ 구조적 공백</v>
      </c>
      <c r="R226" s="9" t="n">
        <v>0.0628</v>
      </c>
      <c r="S226" s="2" t="n">
        <f aca="false">RANK(R226,$R$2:$R$230,0)</f>
        <v>219</v>
      </c>
    </row>
    <row r="227" customFormat="false" ht="15" hidden="false" customHeight="false" outlineLevel="0" collapsed="false">
      <c r="A227" s="2" t="s">
        <v>497</v>
      </c>
      <c r="B227" s="3" t="s">
        <v>90</v>
      </c>
      <c r="C227" s="3" t="s">
        <v>498</v>
      </c>
      <c r="D227" s="2" t="n">
        <v>2024</v>
      </c>
      <c r="E227" s="2" t="n">
        <v>2027</v>
      </c>
      <c r="F227" s="2" t="n">
        <v>1040</v>
      </c>
      <c r="G227" s="2" t="n">
        <v>20</v>
      </c>
      <c r="H227" s="8" t="n">
        <v>19.2307692307692</v>
      </c>
      <c r="I227" s="2" t="n">
        <v>0</v>
      </c>
      <c r="J227" s="2" t="n">
        <v>0</v>
      </c>
      <c r="K227" s="2" t="n">
        <f aca="false">IF(H227&lt;=PERCENTILE($H$2:$H$230,설명!$B$26),1,0)</f>
        <v>0</v>
      </c>
      <c r="L227" s="2" t="n">
        <f aca="false">IF(I227=0,1,0)</f>
        <v>1</v>
      </c>
      <c r="M227" s="2" t="n">
        <f aca="false">L227</f>
        <v>1</v>
      </c>
      <c r="N227" s="9" t="n">
        <v>0.0477</v>
      </c>
      <c r="O227" s="2" t="n">
        <f aca="false">RANK(N227,$N$2:$N$230,0)</f>
        <v>226</v>
      </c>
      <c r="P227" s="2" t="n">
        <f aca="false">IF(O227&lt;=설명!$B$25,1,0)</f>
        <v>0</v>
      </c>
      <c r="Q227" s="2" t="str">
        <f aca="false">IF(AND(M227=1,P227=1),"① 최우선 지원",IF(P227=1,"② 예방 대상",IF(M227=1,"③ 구조적 공백","④ 관찰")))</f>
        <v>③ 구조적 공백</v>
      </c>
      <c r="R227" s="9" t="n">
        <v>0.042</v>
      </c>
      <c r="S227" s="2" t="n">
        <f aca="false">RANK(R227,$R$2:$R$230,0)</f>
        <v>227</v>
      </c>
    </row>
    <row r="228" customFormat="false" ht="15" hidden="false" customHeight="false" outlineLevel="0" collapsed="false">
      <c r="A228" s="2" t="s">
        <v>499</v>
      </c>
      <c r="B228" s="3" t="s">
        <v>90</v>
      </c>
      <c r="C228" s="3" t="s">
        <v>500</v>
      </c>
      <c r="D228" s="2" t="n">
        <v>2024</v>
      </c>
      <c r="E228" s="2" t="n">
        <v>2027</v>
      </c>
      <c r="F228" s="2" t="n">
        <v>737</v>
      </c>
      <c r="G228" s="2" t="n">
        <v>14</v>
      </c>
      <c r="H228" s="8" t="n">
        <v>18.9959294436906</v>
      </c>
      <c r="I228" s="2" t="n">
        <v>0</v>
      </c>
      <c r="J228" s="2" t="n">
        <v>3</v>
      </c>
      <c r="K228" s="2" t="n">
        <f aca="false">IF(H228&lt;=PERCENTILE($H$2:$H$230,설명!$B$26),1,0)</f>
        <v>0</v>
      </c>
      <c r="L228" s="2" t="n">
        <f aca="false">IF(I228=0,1,0)</f>
        <v>1</v>
      </c>
      <c r="M228" s="2" t="n">
        <f aca="false">L228</f>
        <v>1</v>
      </c>
      <c r="N228" s="9" t="n">
        <v>0.0433</v>
      </c>
      <c r="O228" s="2" t="n">
        <f aca="false">RANK(N228,$N$2:$N$230,0)</f>
        <v>227</v>
      </c>
      <c r="P228" s="2" t="n">
        <f aca="false">IF(O228&lt;=설명!$B$25,1,0)</f>
        <v>0</v>
      </c>
      <c r="Q228" s="2" t="str">
        <f aca="false">IF(AND(M228=1,P228=1),"① 최우선 지원",IF(P228=1,"② 예방 대상",IF(M228=1,"③ 구조적 공백","④ 관찰")))</f>
        <v>③ 구조적 공백</v>
      </c>
      <c r="R228" s="9" t="n">
        <v>0.046</v>
      </c>
      <c r="S228" s="2" t="n">
        <f aca="false">RANK(R228,$R$2:$R$230,0)</f>
        <v>225</v>
      </c>
    </row>
    <row r="229" customFormat="false" ht="15" hidden="false" customHeight="false" outlineLevel="0" collapsed="false">
      <c r="A229" s="2" t="s">
        <v>501</v>
      </c>
      <c r="B229" s="3" t="s">
        <v>120</v>
      </c>
      <c r="C229" s="3" t="s">
        <v>502</v>
      </c>
      <c r="D229" s="2" t="n">
        <v>2024</v>
      </c>
      <c r="E229" s="2" t="n">
        <v>2027</v>
      </c>
      <c r="F229" s="2" t="n">
        <v>20744</v>
      </c>
      <c r="G229" s="2" t="n">
        <v>296</v>
      </c>
      <c r="H229" s="8" t="n">
        <v>14.2691862707289</v>
      </c>
      <c r="I229" s="2" t="n">
        <v>39</v>
      </c>
      <c r="J229" s="2" t="n">
        <v>127</v>
      </c>
      <c r="K229" s="2" t="n">
        <f aca="false">IF(H229&lt;=PERCENTILE($H$2:$H$230,설명!$B$26),1,0)</f>
        <v>1</v>
      </c>
      <c r="L229" s="2" t="n">
        <f aca="false">IF(I229=0,1,0)</f>
        <v>0</v>
      </c>
      <c r="M229" s="2" t="n">
        <f aca="false">L229</f>
        <v>0</v>
      </c>
      <c r="N229" s="9" t="n">
        <v>0.0429</v>
      </c>
      <c r="O229" s="2" t="n">
        <f aca="false">RANK(N229,$N$2:$N$230,0)</f>
        <v>228</v>
      </c>
      <c r="P229" s="2" t="n">
        <f aca="false">IF(O229&lt;=설명!$B$25,1,0)</f>
        <v>0</v>
      </c>
      <c r="Q229" s="2" t="str">
        <f aca="false">IF(AND(M229=1,P229=1),"① 최우선 지원",IF(P229=1,"② 예방 대상",IF(M229=1,"③ 구조적 공백","④ 관찰")))</f>
        <v>④ 관찰</v>
      </c>
      <c r="R229" s="9" t="n">
        <v>0.039</v>
      </c>
      <c r="S229" s="2" t="n">
        <f aca="false">RANK(R229,$R$2:$R$230,0)</f>
        <v>228</v>
      </c>
    </row>
    <row r="230" customFormat="false" ht="15" hidden="false" customHeight="false" outlineLevel="0" collapsed="false">
      <c r="A230" s="2" t="s">
        <v>503</v>
      </c>
      <c r="B230" s="3" t="s">
        <v>153</v>
      </c>
      <c r="C230" s="3" t="s">
        <v>504</v>
      </c>
      <c r="D230" s="2" t="n">
        <v>2024</v>
      </c>
      <c r="E230" s="2" t="n">
        <v>2027</v>
      </c>
      <c r="F230" s="2" t="n">
        <v>591</v>
      </c>
      <c r="G230" s="2" t="n">
        <v>9</v>
      </c>
      <c r="H230" s="8" t="n">
        <v>15.2284263959391</v>
      </c>
      <c r="I230" s="2" t="n">
        <v>0</v>
      </c>
      <c r="J230" s="2" t="n">
        <v>1</v>
      </c>
      <c r="K230" s="2" t="n">
        <f aca="false">IF(H230&lt;=PERCENTILE($H$2:$H$230,설명!$B$26),1,0)</f>
        <v>1</v>
      </c>
      <c r="L230" s="2" t="n">
        <f aca="false">IF(I230=0,1,0)</f>
        <v>1</v>
      </c>
      <c r="M230" s="2" t="n">
        <f aca="false">L230</f>
        <v>1</v>
      </c>
      <c r="N230" s="9" t="n">
        <v>0.0403</v>
      </c>
      <c r="O230" s="2" t="n">
        <f aca="false">RANK(N230,$N$2:$N$230,0)</f>
        <v>229</v>
      </c>
      <c r="P230" s="2" t="n">
        <f aca="false">IF(O230&lt;=설명!$B$25,1,0)</f>
        <v>0</v>
      </c>
      <c r="Q230" s="2" t="str">
        <f aca="false">IF(AND(M230=1,P230=1),"① 최우선 지원",IF(P230=1,"② 예방 대상",IF(M230=1,"③ 구조적 공백","④ 관찰")))</f>
        <v>③ 구조적 공백</v>
      </c>
      <c r="R230" s="9" t="n">
        <v>0.0474</v>
      </c>
      <c r="S230" s="2" t="n">
        <f aca="false">RANK(R230,$R$2:$R$230,0)</f>
        <v>224</v>
      </c>
    </row>
  </sheetData>
  <autoFilter ref="A1:S230"/>
  <conditionalFormatting sqref="A2:S230">
    <cfRule type="expression" priority="2" aboveAverage="0" equalAverage="0" bottom="0" percent="0" rank="0" text="" dxfId="6">
      <formula>LEFT($Q2,1)="①"</formula>
    </cfRule>
    <cfRule type="expression" priority="3" aboveAverage="0" equalAverage="0" bottom="0" percent="0" rank="0" text="" dxfId="7">
      <formula>LEFT($Q2,1)="②"</formula>
    </cfRule>
    <cfRule type="expression" priority="4" aboveAverage="0" equalAverage="0" bottom="0" percent="0" rank="0" text="" dxfId="8">
      <formula>LEFT($Q2,1)="③"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4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9"/>
    <col collapsed="false" customWidth="true" hidden="false" outlineLevel="0" max="8" min="8" style="0" width="11"/>
    <col collapsed="false" customWidth="true" hidden="false" outlineLevel="0" max="9" min="9" style="0" width="9"/>
    <col collapsed="false" customWidth="true" hidden="false" outlineLevel="0" max="10" min="10" style="0" width="12"/>
    <col collapsed="false" customWidth="true" hidden="false" outlineLevel="0" max="13" min="11" style="0" width="8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6" min="16" style="0" width="9"/>
    <col collapsed="false" customWidth="true" hidden="false" outlineLevel="0" max="17" min="17" style="0" width="22"/>
    <col collapsed="false" customWidth="true" hidden="false" outlineLevel="0" max="18" min="18" style="0" width="11"/>
    <col collapsed="false" customWidth="true" hidden="false" outlineLevel="0" max="19" min="19" style="0" width="10"/>
  </cols>
  <sheetData>
    <row r="1" customFormat="false" ht="42" hidden="false" customHeight="true" outlineLevel="0" collapsed="false">
      <c r="A1" s="6" t="s">
        <v>35</v>
      </c>
      <c r="B1" s="6" t="s">
        <v>36</v>
      </c>
      <c r="C1" s="6" t="s">
        <v>37</v>
      </c>
      <c r="D1" s="6" t="s">
        <v>38</v>
      </c>
      <c r="E1" s="6" t="s">
        <v>39</v>
      </c>
      <c r="F1" s="7" t="s">
        <v>40</v>
      </c>
      <c r="G1" s="6" t="s">
        <v>41</v>
      </c>
      <c r="H1" s="7" t="s">
        <v>42</v>
      </c>
      <c r="I1" s="6" t="s">
        <v>43</v>
      </c>
      <c r="J1" s="6" t="s">
        <v>44</v>
      </c>
      <c r="K1" s="7" t="s">
        <v>45</v>
      </c>
      <c r="L1" s="6" t="s">
        <v>46</v>
      </c>
      <c r="M1" s="6" t="s">
        <v>47</v>
      </c>
      <c r="N1" s="6" t="s">
        <v>48</v>
      </c>
      <c r="O1" s="6" t="s">
        <v>49</v>
      </c>
      <c r="P1" s="6" t="s">
        <v>50</v>
      </c>
      <c r="Q1" s="6" t="s">
        <v>21</v>
      </c>
      <c r="R1" s="6" t="s">
        <v>51</v>
      </c>
      <c r="S1" s="6" t="s">
        <v>52</v>
      </c>
    </row>
    <row r="2" customFormat="false" ht="15" hidden="false" customHeight="false" outlineLevel="0" collapsed="false">
      <c r="A2" s="2" t="s">
        <v>89</v>
      </c>
      <c r="B2" s="3" t="s">
        <v>90</v>
      </c>
      <c r="C2" s="3" t="s">
        <v>91</v>
      </c>
      <c r="D2" s="2" t="n">
        <v>2025</v>
      </c>
      <c r="E2" s="2" t="n">
        <v>2028</v>
      </c>
      <c r="F2" s="2" t="n">
        <v>4548</v>
      </c>
      <c r="G2" s="2" t="n">
        <v>114</v>
      </c>
      <c r="H2" s="8" t="n">
        <v>25.065963060686</v>
      </c>
      <c r="I2" s="2" t="n">
        <v>2</v>
      </c>
      <c r="J2" s="2" t="n">
        <v>28</v>
      </c>
      <c r="K2" s="2" t="n">
        <f aca="false">IF(H2&lt;=PERCENTILE($H$2:$H$230,설명!$B$26),1,0)</f>
        <v>0</v>
      </c>
      <c r="L2" s="2" t="n">
        <f aca="false">IF(I2=0,1,0)</f>
        <v>0</v>
      </c>
      <c r="M2" s="2" t="n">
        <f aca="false">L2</f>
        <v>0</v>
      </c>
      <c r="N2" s="9" t="n">
        <v>0.6605</v>
      </c>
      <c r="O2" s="2" t="n">
        <f aca="false">RANK(N2,$N$2:$N$230,0)</f>
        <v>1</v>
      </c>
      <c r="P2" s="2" t="n">
        <f aca="false">IF(O2&lt;=설명!$B$25,1,0)</f>
        <v>1</v>
      </c>
      <c r="Q2" s="2" t="str">
        <f aca="false">IF(AND(M2=1,P2=1),"① 최우선 지원",IF(P2=1,"② 예방 대상",IF(M2=1,"③ 구조적 공백","④ 관찰")))</f>
        <v>② 예방 대상</v>
      </c>
      <c r="R2" s="9" t="n">
        <v>0.6333</v>
      </c>
      <c r="S2" s="2" t="n">
        <f aca="false">RANK(R2,$R$2:$R$230,0)</f>
        <v>1</v>
      </c>
    </row>
    <row r="3" customFormat="false" ht="15" hidden="false" customHeight="false" outlineLevel="0" collapsed="false">
      <c r="A3" s="2" t="s">
        <v>53</v>
      </c>
      <c r="B3" s="3" t="s">
        <v>54</v>
      </c>
      <c r="C3" s="3" t="s">
        <v>55</v>
      </c>
      <c r="D3" s="2" t="n">
        <v>2025</v>
      </c>
      <c r="E3" s="2" t="n">
        <v>2028</v>
      </c>
      <c r="F3" s="2" t="n">
        <v>6147</v>
      </c>
      <c r="G3" s="2" t="n">
        <v>115</v>
      </c>
      <c r="H3" s="8" t="n">
        <v>18.7083129982105</v>
      </c>
      <c r="I3" s="2" t="n">
        <v>6</v>
      </c>
      <c r="J3" s="2" t="n">
        <v>23</v>
      </c>
      <c r="K3" s="2" t="n">
        <f aca="false">IF(H3&lt;=PERCENTILE($H$2:$H$230,설명!$B$26),1,0)</f>
        <v>0</v>
      </c>
      <c r="L3" s="2" t="n">
        <f aca="false">IF(I3=0,1,0)</f>
        <v>0</v>
      </c>
      <c r="M3" s="2" t="n">
        <f aca="false">L3</f>
        <v>0</v>
      </c>
      <c r="N3" s="9" t="n">
        <v>0.6347</v>
      </c>
      <c r="O3" s="2" t="n">
        <f aca="false">RANK(N3,$N$2:$N$230,0)</f>
        <v>2</v>
      </c>
      <c r="P3" s="2" t="n">
        <f aca="false">IF(O3&lt;=설명!$B$25,1,0)</f>
        <v>1</v>
      </c>
      <c r="Q3" s="2" t="str">
        <f aca="false">IF(AND(M3=1,P3=1),"① 최우선 지원",IF(P3=1,"② 예방 대상",IF(M3=1,"③ 구조적 공백","④ 관찰")))</f>
        <v>② 예방 대상</v>
      </c>
      <c r="R3" s="9" t="n">
        <v>0.62</v>
      </c>
      <c r="S3" s="2" t="n">
        <f aca="false">RANK(R3,$R$2:$R$230,0)</f>
        <v>3</v>
      </c>
    </row>
    <row r="4" customFormat="false" ht="15" hidden="false" customHeight="false" outlineLevel="0" collapsed="false">
      <c r="A4" s="2" t="s">
        <v>87</v>
      </c>
      <c r="B4" s="3" t="s">
        <v>79</v>
      </c>
      <c r="C4" s="3" t="s">
        <v>88</v>
      </c>
      <c r="D4" s="2" t="n">
        <v>2025</v>
      </c>
      <c r="E4" s="2" t="n">
        <v>2028</v>
      </c>
      <c r="F4" s="2" t="n">
        <v>3760</v>
      </c>
      <c r="G4" s="2" t="n">
        <v>69</v>
      </c>
      <c r="H4" s="8" t="n">
        <v>18.3510638297872</v>
      </c>
      <c r="I4" s="2" t="n">
        <v>6</v>
      </c>
      <c r="J4" s="2" t="n">
        <v>18</v>
      </c>
      <c r="K4" s="2" t="n">
        <f aca="false">IF(H4&lt;=PERCENTILE($H$2:$H$230,설명!$B$26),1,0)</f>
        <v>0</v>
      </c>
      <c r="L4" s="2" t="n">
        <f aca="false">IF(I4=0,1,0)</f>
        <v>0</v>
      </c>
      <c r="M4" s="2" t="n">
        <f aca="false">L4</f>
        <v>0</v>
      </c>
      <c r="N4" s="9" t="n">
        <v>0.6278</v>
      </c>
      <c r="O4" s="2" t="n">
        <f aca="false">RANK(N4,$N$2:$N$230,0)</f>
        <v>3</v>
      </c>
      <c r="P4" s="2" t="n">
        <f aca="false">IF(O4&lt;=설명!$B$25,1,0)</f>
        <v>1</v>
      </c>
      <c r="Q4" s="2" t="str">
        <f aca="false">IF(AND(M4=1,P4=1),"① 최우선 지원",IF(P4=1,"② 예방 대상",IF(M4=1,"③ 구조적 공백","④ 관찰")))</f>
        <v>② 예방 대상</v>
      </c>
      <c r="R4" s="9" t="n">
        <v>0.523</v>
      </c>
      <c r="S4" s="2" t="n">
        <f aca="false">RANK(R4,$R$2:$R$230,0)</f>
        <v>6</v>
      </c>
    </row>
    <row r="5" customFormat="false" ht="15" hidden="false" customHeight="false" outlineLevel="0" collapsed="false">
      <c r="A5" s="2" t="s">
        <v>65</v>
      </c>
      <c r="B5" s="3" t="s">
        <v>66</v>
      </c>
      <c r="C5" s="3" t="s">
        <v>67</v>
      </c>
      <c r="D5" s="2" t="n">
        <v>2025</v>
      </c>
      <c r="E5" s="2" t="n">
        <v>2028</v>
      </c>
      <c r="F5" s="2" t="n">
        <v>1729</v>
      </c>
      <c r="G5" s="2" t="n">
        <v>55</v>
      </c>
      <c r="H5" s="8" t="n">
        <v>31.8102949681897</v>
      </c>
      <c r="I5" s="2" t="n">
        <v>3</v>
      </c>
      <c r="J5" s="2" t="n">
        <v>7</v>
      </c>
      <c r="K5" s="2" t="n">
        <f aca="false">IF(H5&lt;=PERCENTILE($H$2:$H$230,설명!$B$26),1,0)</f>
        <v>0</v>
      </c>
      <c r="L5" s="2" t="n">
        <f aca="false">IF(I5=0,1,0)</f>
        <v>0</v>
      </c>
      <c r="M5" s="2" t="n">
        <f aca="false">L5</f>
        <v>0</v>
      </c>
      <c r="N5" s="9" t="n">
        <v>0.5993</v>
      </c>
      <c r="O5" s="2" t="n">
        <f aca="false">RANK(N5,$N$2:$N$230,0)</f>
        <v>4</v>
      </c>
      <c r="P5" s="2" t="n">
        <f aca="false">IF(O5&lt;=설명!$B$25,1,0)</f>
        <v>1</v>
      </c>
      <c r="Q5" s="2" t="str">
        <f aca="false">IF(AND(M5=1,P5=1),"① 최우선 지원",IF(P5=1,"② 예방 대상",IF(M5=1,"③ 구조적 공백","④ 관찰")))</f>
        <v>② 예방 대상</v>
      </c>
      <c r="R5" s="9" t="n">
        <v>0.599</v>
      </c>
      <c r="S5" s="2" t="n">
        <f aca="false">RANK(R5,$R$2:$R$230,0)</f>
        <v>4</v>
      </c>
    </row>
    <row r="6" customFormat="false" ht="15" hidden="false" customHeight="false" outlineLevel="0" collapsed="false">
      <c r="A6" s="2" t="s">
        <v>101</v>
      </c>
      <c r="B6" s="3" t="s">
        <v>79</v>
      </c>
      <c r="C6" s="3" t="s">
        <v>102</v>
      </c>
      <c r="D6" s="2" t="n">
        <v>2025</v>
      </c>
      <c r="E6" s="2" t="n">
        <v>2028</v>
      </c>
      <c r="F6" s="2" t="n">
        <v>6111</v>
      </c>
      <c r="G6" s="2" t="n">
        <v>103</v>
      </c>
      <c r="H6" s="8" t="n">
        <v>16.8548519063983</v>
      </c>
      <c r="I6" s="2" t="n">
        <v>13</v>
      </c>
      <c r="J6" s="2" t="n">
        <v>28</v>
      </c>
      <c r="K6" s="2" t="n">
        <f aca="false">IF(H6&lt;=PERCENTILE($H$2:$H$230,설명!$B$26),1,0)</f>
        <v>0</v>
      </c>
      <c r="L6" s="2" t="n">
        <f aca="false">IF(I6=0,1,0)</f>
        <v>0</v>
      </c>
      <c r="M6" s="2" t="n">
        <f aca="false">L6</f>
        <v>0</v>
      </c>
      <c r="N6" s="9" t="n">
        <v>0.5778</v>
      </c>
      <c r="O6" s="2" t="n">
        <f aca="false">RANK(N6,$N$2:$N$230,0)</f>
        <v>5</v>
      </c>
      <c r="P6" s="2" t="n">
        <f aca="false">IF(O6&lt;=설명!$B$25,1,0)</f>
        <v>1</v>
      </c>
      <c r="Q6" s="2" t="str">
        <f aca="false">IF(AND(M6=1,P6=1),"① 최우선 지원",IF(P6=1,"② 예방 대상",IF(M6=1,"③ 구조적 공백","④ 관찰")))</f>
        <v>② 예방 대상</v>
      </c>
      <c r="R6" s="9" t="n">
        <v>0.5148</v>
      </c>
      <c r="S6" s="2" t="n">
        <f aca="false">RANK(R6,$R$2:$R$230,0)</f>
        <v>7</v>
      </c>
    </row>
    <row r="7" customFormat="false" ht="15" hidden="false" customHeight="false" outlineLevel="0" collapsed="false">
      <c r="A7" s="2" t="s">
        <v>70</v>
      </c>
      <c r="B7" s="3" t="s">
        <v>71</v>
      </c>
      <c r="C7" s="3" t="s">
        <v>72</v>
      </c>
      <c r="D7" s="2" t="n">
        <v>2025</v>
      </c>
      <c r="E7" s="2" t="n">
        <v>2028</v>
      </c>
      <c r="F7" s="2" t="n">
        <v>6257</v>
      </c>
      <c r="G7" s="2" t="n">
        <v>117</v>
      </c>
      <c r="H7" s="8" t="n">
        <v>18.6990570560972</v>
      </c>
      <c r="I7" s="2" t="n">
        <v>16</v>
      </c>
      <c r="J7" s="2" t="n">
        <v>34</v>
      </c>
      <c r="K7" s="2" t="n">
        <f aca="false">IF(H7&lt;=PERCENTILE($H$2:$H$230,설명!$B$26),1,0)</f>
        <v>0</v>
      </c>
      <c r="L7" s="2" t="n">
        <f aca="false">IF(I7=0,1,0)</f>
        <v>0</v>
      </c>
      <c r="M7" s="2" t="n">
        <f aca="false">L7</f>
        <v>0</v>
      </c>
      <c r="N7" s="9" t="n">
        <v>0.5245</v>
      </c>
      <c r="O7" s="2" t="n">
        <f aca="false">RANK(N7,$N$2:$N$230,0)</f>
        <v>6</v>
      </c>
      <c r="P7" s="2" t="n">
        <f aca="false">IF(O7&lt;=설명!$B$25,1,0)</f>
        <v>1</v>
      </c>
      <c r="Q7" s="2" t="str">
        <f aca="false">IF(AND(M7=1,P7=1),"① 최우선 지원",IF(P7=1,"② 예방 대상",IF(M7=1,"③ 구조적 공백","④ 관찰")))</f>
        <v>② 예방 대상</v>
      </c>
      <c r="R7" s="9" t="n">
        <v>0.5052</v>
      </c>
      <c r="S7" s="2" t="n">
        <f aca="false">RANK(R7,$R$2:$R$230,0)</f>
        <v>9</v>
      </c>
    </row>
    <row r="8" customFormat="false" ht="15" hidden="false" customHeight="false" outlineLevel="0" collapsed="false">
      <c r="A8" s="2" t="s">
        <v>56</v>
      </c>
      <c r="B8" s="3" t="s">
        <v>54</v>
      </c>
      <c r="C8" s="3" t="s">
        <v>57</v>
      </c>
      <c r="D8" s="2" t="n">
        <v>2025</v>
      </c>
      <c r="E8" s="2" t="n">
        <v>2028</v>
      </c>
      <c r="F8" s="2" t="n">
        <v>28551</v>
      </c>
      <c r="G8" s="2" t="n">
        <v>525</v>
      </c>
      <c r="H8" s="8" t="n">
        <v>18.3881475254807</v>
      </c>
      <c r="I8" s="2" t="n">
        <v>24</v>
      </c>
      <c r="J8" s="2" t="n">
        <v>112</v>
      </c>
      <c r="K8" s="2" t="n">
        <f aca="false">IF(H8&lt;=PERCENTILE($H$2:$H$230,설명!$B$26),1,0)</f>
        <v>0</v>
      </c>
      <c r="L8" s="2" t="n">
        <f aca="false">IF(I8=0,1,0)</f>
        <v>0</v>
      </c>
      <c r="M8" s="2" t="n">
        <f aca="false">L8</f>
        <v>0</v>
      </c>
      <c r="N8" s="9" t="n">
        <v>0.5065</v>
      </c>
      <c r="O8" s="2" t="n">
        <f aca="false">RANK(N8,$N$2:$N$230,0)</f>
        <v>7</v>
      </c>
      <c r="P8" s="2" t="n">
        <f aca="false">IF(O8&lt;=설명!$B$25,1,0)</f>
        <v>1</v>
      </c>
      <c r="Q8" s="2" t="str">
        <f aca="false">IF(AND(M8=1,P8=1),"① 최우선 지원",IF(P8=1,"② 예방 대상",IF(M8=1,"③ 구조적 공백","④ 관찰")))</f>
        <v>② 예방 대상</v>
      </c>
      <c r="R8" s="9" t="n">
        <v>0.4881</v>
      </c>
      <c r="S8" s="2" t="n">
        <f aca="false">RANK(R8,$R$2:$R$230,0)</f>
        <v>11</v>
      </c>
    </row>
    <row r="9" customFormat="false" ht="15" hidden="false" customHeight="false" outlineLevel="0" collapsed="false">
      <c r="A9" s="2" t="s">
        <v>78</v>
      </c>
      <c r="B9" s="3" t="s">
        <v>79</v>
      </c>
      <c r="C9" s="3" t="s">
        <v>80</v>
      </c>
      <c r="D9" s="2" t="n">
        <v>2025</v>
      </c>
      <c r="E9" s="2" t="n">
        <v>2028</v>
      </c>
      <c r="F9" s="2" t="n">
        <v>6010</v>
      </c>
      <c r="G9" s="2" t="n">
        <v>114</v>
      </c>
      <c r="H9" s="8" t="n">
        <v>18.9683860232945</v>
      </c>
      <c r="I9" s="2" t="n">
        <v>6</v>
      </c>
      <c r="J9" s="2" t="n">
        <v>22</v>
      </c>
      <c r="K9" s="2" t="n">
        <f aca="false">IF(H9&lt;=PERCENTILE($H$2:$H$230,설명!$B$26),1,0)</f>
        <v>0</v>
      </c>
      <c r="L9" s="2" t="n">
        <f aca="false">IF(I9=0,1,0)</f>
        <v>0</v>
      </c>
      <c r="M9" s="2" t="n">
        <f aca="false">L9</f>
        <v>0</v>
      </c>
      <c r="N9" s="9" t="n">
        <v>0.5056</v>
      </c>
      <c r="O9" s="2" t="n">
        <f aca="false">RANK(N9,$N$2:$N$230,0)</f>
        <v>8</v>
      </c>
      <c r="P9" s="2" t="n">
        <f aca="false">IF(O9&lt;=설명!$B$25,1,0)</f>
        <v>1</v>
      </c>
      <c r="Q9" s="2" t="str">
        <f aca="false">IF(AND(M9=1,P9=1),"① 최우선 지원",IF(P9=1,"② 예방 대상",IF(M9=1,"③ 구조적 공백","④ 관찰")))</f>
        <v>② 예방 대상</v>
      </c>
      <c r="R9" s="9" t="n">
        <v>0.4061</v>
      </c>
      <c r="S9" s="2" t="n">
        <f aca="false">RANK(R9,$R$2:$R$230,0)</f>
        <v>27</v>
      </c>
    </row>
    <row r="10" customFormat="false" ht="15" hidden="false" customHeight="false" outlineLevel="0" collapsed="false">
      <c r="A10" s="2" t="s">
        <v>99</v>
      </c>
      <c r="B10" s="3" t="s">
        <v>93</v>
      </c>
      <c r="C10" s="3" t="s">
        <v>100</v>
      </c>
      <c r="D10" s="2" t="n">
        <v>2025</v>
      </c>
      <c r="E10" s="2" t="n">
        <v>2028</v>
      </c>
      <c r="F10" s="2" t="n">
        <v>13156</v>
      </c>
      <c r="G10" s="2" t="n">
        <v>276</v>
      </c>
      <c r="H10" s="8" t="n">
        <v>20.979020979021</v>
      </c>
      <c r="I10" s="2" t="n">
        <v>11</v>
      </c>
      <c r="J10" s="2" t="n">
        <v>57</v>
      </c>
      <c r="K10" s="2" t="n">
        <f aca="false">IF(H10&lt;=PERCENTILE($H$2:$H$230,설명!$B$26),1,0)</f>
        <v>0</v>
      </c>
      <c r="L10" s="2" t="n">
        <f aca="false">IF(I10=0,1,0)</f>
        <v>0</v>
      </c>
      <c r="M10" s="2" t="n">
        <f aca="false">L10</f>
        <v>0</v>
      </c>
      <c r="N10" s="9" t="n">
        <v>0.4998</v>
      </c>
      <c r="O10" s="2" t="n">
        <f aca="false">RANK(N10,$N$2:$N$230,0)</f>
        <v>9</v>
      </c>
      <c r="P10" s="2" t="n">
        <f aca="false">IF(O10&lt;=설명!$B$25,1,0)</f>
        <v>1</v>
      </c>
      <c r="Q10" s="2" t="str">
        <f aca="false">IF(AND(M10=1,P10=1),"① 최우선 지원",IF(P10=1,"② 예방 대상",IF(M10=1,"③ 구조적 공백","④ 관찰")))</f>
        <v>② 예방 대상</v>
      </c>
      <c r="R10" s="9" t="n">
        <v>0.5505</v>
      </c>
      <c r="S10" s="2" t="n">
        <f aca="false">RANK(R10,$R$2:$R$230,0)</f>
        <v>5</v>
      </c>
    </row>
    <row r="11" customFormat="false" ht="15" hidden="false" customHeight="false" outlineLevel="0" collapsed="false">
      <c r="A11" s="2" t="s">
        <v>107</v>
      </c>
      <c r="B11" s="3" t="s">
        <v>108</v>
      </c>
      <c r="C11" s="3" t="s">
        <v>109</v>
      </c>
      <c r="D11" s="2" t="n">
        <v>2025</v>
      </c>
      <c r="E11" s="2" t="n">
        <v>2028</v>
      </c>
      <c r="F11" s="2" t="n">
        <v>4124</v>
      </c>
      <c r="G11" s="2" t="n">
        <v>88</v>
      </c>
      <c r="H11" s="8" t="n">
        <v>21.3385063045587</v>
      </c>
      <c r="I11" s="2" t="n">
        <v>6</v>
      </c>
      <c r="J11" s="2" t="n">
        <v>11</v>
      </c>
      <c r="K11" s="2" t="n">
        <f aca="false">IF(H11&lt;=PERCENTILE($H$2:$H$230,설명!$B$26),1,0)</f>
        <v>0</v>
      </c>
      <c r="L11" s="2" t="n">
        <f aca="false">IF(I11=0,1,0)</f>
        <v>0</v>
      </c>
      <c r="M11" s="2" t="n">
        <f aca="false">L11</f>
        <v>0</v>
      </c>
      <c r="N11" s="9" t="n">
        <v>0.482</v>
      </c>
      <c r="O11" s="2" t="n">
        <f aca="false">RANK(N11,$N$2:$N$230,0)</f>
        <v>10</v>
      </c>
      <c r="P11" s="2" t="n">
        <f aca="false">IF(O11&lt;=설명!$B$25,1,0)</f>
        <v>1</v>
      </c>
      <c r="Q11" s="2" t="str">
        <f aca="false">IF(AND(M11=1,P11=1),"① 최우선 지원",IF(P11=1,"② 예방 대상",IF(M11=1,"③ 구조적 공백","④ 관찰")))</f>
        <v>② 예방 대상</v>
      </c>
      <c r="R11" s="9" t="n">
        <v>0.4401</v>
      </c>
      <c r="S11" s="2" t="n">
        <f aca="false">RANK(R11,$R$2:$R$230,0)</f>
        <v>19</v>
      </c>
    </row>
    <row r="12" customFormat="false" ht="15" hidden="false" customHeight="false" outlineLevel="0" collapsed="false">
      <c r="A12" s="2" t="s">
        <v>97</v>
      </c>
      <c r="B12" s="3" t="s">
        <v>71</v>
      </c>
      <c r="C12" s="3" t="s">
        <v>98</v>
      </c>
      <c r="D12" s="2" t="n">
        <v>2025</v>
      </c>
      <c r="E12" s="2" t="n">
        <v>2028</v>
      </c>
      <c r="F12" s="2" t="n">
        <v>11456</v>
      </c>
      <c r="G12" s="2" t="n">
        <v>209</v>
      </c>
      <c r="H12" s="8" t="n">
        <v>18.2437150837989</v>
      </c>
      <c r="I12" s="2" t="n">
        <v>28</v>
      </c>
      <c r="J12" s="2" t="n">
        <v>55</v>
      </c>
      <c r="K12" s="2" t="n">
        <f aca="false">IF(H12&lt;=PERCENTILE($H$2:$H$230,설명!$B$26),1,0)</f>
        <v>0</v>
      </c>
      <c r="L12" s="2" t="n">
        <f aca="false">IF(I12=0,1,0)</f>
        <v>0</v>
      </c>
      <c r="M12" s="2" t="n">
        <f aca="false">L12</f>
        <v>0</v>
      </c>
      <c r="N12" s="9" t="n">
        <v>0.4711</v>
      </c>
      <c r="O12" s="2" t="n">
        <f aca="false">RANK(N12,$N$2:$N$230,0)</f>
        <v>11</v>
      </c>
      <c r="P12" s="2" t="n">
        <f aca="false">IF(O12&lt;=설명!$B$25,1,0)</f>
        <v>1</v>
      </c>
      <c r="Q12" s="2" t="str">
        <f aca="false">IF(AND(M12=1,P12=1),"① 최우선 지원",IF(P12=1,"② 예방 대상",IF(M12=1,"③ 구조적 공백","④ 관찰")))</f>
        <v>② 예방 대상</v>
      </c>
      <c r="R12" s="9" t="n">
        <v>0.4075</v>
      </c>
      <c r="S12" s="2" t="n">
        <f aca="false">RANK(R12,$R$2:$R$230,0)</f>
        <v>26</v>
      </c>
    </row>
    <row r="13" customFormat="false" ht="15" hidden="false" customHeight="false" outlineLevel="0" collapsed="false">
      <c r="A13" s="2" t="s">
        <v>73</v>
      </c>
      <c r="B13" s="3" t="s">
        <v>54</v>
      </c>
      <c r="C13" s="3" t="s">
        <v>74</v>
      </c>
      <c r="D13" s="2" t="n">
        <v>2025</v>
      </c>
      <c r="E13" s="2" t="n">
        <v>2028</v>
      </c>
      <c r="F13" s="2" t="n">
        <v>2158</v>
      </c>
      <c r="G13" s="2" t="n">
        <v>45</v>
      </c>
      <c r="H13" s="8" t="n">
        <v>20.852641334569</v>
      </c>
      <c r="I13" s="2" t="n">
        <v>5</v>
      </c>
      <c r="J13" s="2" t="n">
        <v>9</v>
      </c>
      <c r="K13" s="2" t="n">
        <f aca="false">IF(H13&lt;=PERCENTILE($H$2:$H$230,설명!$B$26),1,0)</f>
        <v>0</v>
      </c>
      <c r="L13" s="2" t="n">
        <f aca="false">IF(I13=0,1,0)</f>
        <v>0</v>
      </c>
      <c r="M13" s="2" t="n">
        <f aca="false">L13</f>
        <v>0</v>
      </c>
      <c r="N13" s="9" t="n">
        <v>0.4656</v>
      </c>
      <c r="O13" s="2" t="n">
        <f aca="false">RANK(N13,$N$2:$N$230,0)</f>
        <v>12</v>
      </c>
      <c r="P13" s="2" t="n">
        <f aca="false">IF(O13&lt;=설명!$B$25,1,0)</f>
        <v>1</v>
      </c>
      <c r="Q13" s="2" t="str">
        <f aca="false">IF(AND(M13=1,P13=1),"① 최우선 지원",IF(P13=1,"② 예방 대상",IF(M13=1,"③ 구조적 공백","④ 관찰")))</f>
        <v>② 예방 대상</v>
      </c>
      <c r="R13" s="9" t="n">
        <v>0.4191</v>
      </c>
      <c r="S13" s="2" t="n">
        <f aca="false">RANK(R13,$R$2:$R$230,0)</f>
        <v>24</v>
      </c>
    </row>
    <row r="14" customFormat="false" ht="15" hidden="false" customHeight="false" outlineLevel="0" collapsed="false">
      <c r="A14" s="2" t="s">
        <v>75</v>
      </c>
      <c r="B14" s="3" t="s">
        <v>76</v>
      </c>
      <c r="C14" s="3" t="s">
        <v>77</v>
      </c>
      <c r="D14" s="2" t="n">
        <v>2025</v>
      </c>
      <c r="E14" s="2" t="n">
        <v>2028</v>
      </c>
      <c r="F14" s="2" t="n">
        <v>2047</v>
      </c>
      <c r="G14" s="2" t="n">
        <v>54</v>
      </c>
      <c r="H14" s="8" t="n">
        <v>26.3800683927699</v>
      </c>
      <c r="I14" s="2" t="n">
        <v>6</v>
      </c>
      <c r="J14" s="2" t="n">
        <v>6</v>
      </c>
      <c r="K14" s="2" t="n">
        <f aca="false">IF(H14&lt;=PERCENTILE($H$2:$H$230,설명!$B$26),1,0)</f>
        <v>0</v>
      </c>
      <c r="L14" s="2" t="n">
        <f aca="false">IF(I14=0,1,0)</f>
        <v>0</v>
      </c>
      <c r="M14" s="2" t="n">
        <f aca="false">L14</f>
        <v>0</v>
      </c>
      <c r="N14" s="9" t="n">
        <v>0.4637</v>
      </c>
      <c r="O14" s="2" t="n">
        <f aca="false">RANK(N14,$N$2:$N$230,0)</f>
        <v>13</v>
      </c>
      <c r="P14" s="2" t="n">
        <f aca="false">IF(O14&lt;=설명!$B$25,1,0)</f>
        <v>1</v>
      </c>
      <c r="Q14" s="2" t="str">
        <f aca="false">IF(AND(M14=1,P14=1),"① 최우선 지원",IF(P14=1,"② 예방 대상",IF(M14=1,"③ 구조적 공백","④ 관찰")))</f>
        <v>② 예방 대상</v>
      </c>
      <c r="R14" s="9" t="n">
        <v>0.6283</v>
      </c>
      <c r="S14" s="2" t="n">
        <f aca="false">RANK(R14,$R$2:$R$230,0)</f>
        <v>2</v>
      </c>
    </row>
    <row r="15" customFormat="false" ht="15" hidden="false" customHeight="false" outlineLevel="0" collapsed="false">
      <c r="A15" s="2" t="s">
        <v>191</v>
      </c>
      <c r="B15" s="3" t="s">
        <v>79</v>
      </c>
      <c r="C15" s="3" t="s">
        <v>136</v>
      </c>
      <c r="D15" s="2" t="n">
        <v>2025</v>
      </c>
      <c r="E15" s="2" t="n">
        <v>2028</v>
      </c>
      <c r="F15" s="2" t="n">
        <v>6861</v>
      </c>
      <c r="G15" s="2" t="n">
        <v>117</v>
      </c>
      <c r="H15" s="8" t="n">
        <v>17.0529077393966</v>
      </c>
      <c r="I15" s="2" t="n">
        <v>16</v>
      </c>
      <c r="J15" s="2" t="n">
        <v>34</v>
      </c>
      <c r="K15" s="2" t="n">
        <f aca="false">IF(H15&lt;=PERCENTILE($H$2:$H$230,설명!$B$26),1,0)</f>
        <v>0</v>
      </c>
      <c r="L15" s="2" t="n">
        <f aca="false">IF(I15=0,1,0)</f>
        <v>0</v>
      </c>
      <c r="M15" s="2" t="n">
        <f aca="false">L15</f>
        <v>0</v>
      </c>
      <c r="N15" s="9" t="n">
        <v>0.463</v>
      </c>
      <c r="O15" s="2" t="n">
        <f aca="false">RANK(N15,$N$2:$N$230,0)</f>
        <v>14</v>
      </c>
      <c r="P15" s="2" t="n">
        <f aca="false">IF(O15&lt;=설명!$B$25,1,0)</f>
        <v>1</v>
      </c>
      <c r="Q15" s="2" t="str">
        <f aca="false">IF(AND(M15=1,P15=1),"① 최우선 지원",IF(P15=1,"② 예방 대상",IF(M15=1,"③ 구조적 공백","④ 관찰")))</f>
        <v>② 예방 대상</v>
      </c>
      <c r="R15" s="9" t="n">
        <v>0.3488</v>
      </c>
      <c r="S15" s="2" t="n">
        <f aca="false">RANK(R15,$R$2:$R$230,0)</f>
        <v>53</v>
      </c>
    </row>
    <row r="16" customFormat="false" ht="15" hidden="false" customHeight="false" outlineLevel="0" collapsed="false">
      <c r="A16" s="2" t="s">
        <v>58</v>
      </c>
      <c r="B16" s="3" t="s">
        <v>54</v>
      </c>
      <c r="C16" s="3" t="s">
        <v>59</v>
      </c>
      <c r="D16" s="2" t="n">
        <v>2025</v>
      </c>
      <c r="E16" s="2" t="n">
        <v>2028</v>
      </c>
      <c r="F16" s="2" t="n">
        <v>16795</v>
      </c>
      <c r="G16" s="2" t="n">
        <v>310</v>
      </c>
      <c r="H16" s="8" t="n">
        <v>18.4578743673712</v>
      </c>
      <c r="I16" s="2" t="n">
        <v>23</v>
      </c>
      <c r="J16" s="2" t="n">
        <v>68</v>
      </c>
      <c r="K16" s="2" t="n">
        <f aca="false">IF(H16&lt;=PERCENTILE($H$2:$H$230,설명!$B$26),1,0)</f>
        <v>0</v>
      </c>
      <c r="L16" s="2" t="n">
        <f aca="false">IF(I16=0,1,0)</f>
        <v>0</v>
      </c>
      <c r="M16" s="2" t="n">
        <f aca="false">L16</f>
        <v>0</v>
      </c>
      <c r="N16" s="9" t="n">
        <v>0.4604</v>
      </c>
      <c r="O16" s="2" t="n">
        <f aca="false">RANK(N16,$N$2:$N$230,0)</f>
        <v>15</v>
      </c>
      <c r="P16" s="2" t="n">
        <f aca="false">IF(O16&lt;=설명!$B$25,1,0)</f>
        <v>1</v>
      </c>
      <c r="Q16" s="2" t="str">
        <f aca="false">IF(AND(M16=1,P16=1),"① 최우선 지원",IF(P16=1,"② 예방 대상",IF(M16=1,"③ 구조적 공백","④ 관찰")))</f>
        <v>② 예방 대상</v>
      </c>
      <c r="R16" s="9" t="n">
        <v>0.38</v>
      </c>
      <c r="S16" s="2" t="n">
        <f aca="false">RANK(R16,$R$2:$R$230,0)</f>
        <v>39</v>
      </c>
    </row>
    <row r="17" customFormat="false" ht="15" hidden="false" customHeight="false" outlineLevel="0" collapsed="false">
      <c r="A17" s="2" t="s">
        <v>103</v>
      </c>
      <c r="B17" s="3" t="s">
        <v>79</v>
      </c>
      <c r="C17" s="3" t="s">
        <v>104</v>
      </c>
      <c r="D17" s="2" t="n">
        <v>2025</v>
      </c>
      <c r="E17" s="2" t="n">
        <v>2028</v>
      </c>
      <c r="F17" s="2" t="n">
        <v>285</v>
      </c>
      <c r="G17" s="2" t="n">
        <v>10</v>
      </c>
      <c r="H17" s="8" t="n">
        <v>35.0877192982456</v>
      </c>
      <c r="I17" s="2" t="n">
        <v>1</v>
      </c>
      <c r="J17" s="2" t="n">
        <v>4</v>
      </c>
      <c r="K17" s="2" t="n">
        <f aca="false">IF(H17&lt;=PERCENTILE($H$2:$H$230,설명!$B$26),1,0)</f>
        <v>0</v>
      </c>
      <c r="L17" s="2" t="n">
        <f aca="false">IF(I17=0,1,0)</f>
        <v>0</v>
      </c>
      <c r="M17" s="2" t="n">
        <f aca="false">L17</f>
        <v>0</v>
      </c>
      <c r="N17" s="9" t="n">
        <v>0.4593</v>
      </c>
      <c r="O17" s="2" t="n">
        <f aca="false">RANK(N17,$N$2:$N$230,0)</f>
        <v>16</v>
      </c>
      <c r="P17" s="2" t="n">
        <f aca="false">IF(O17&lt;=설명!$B$25,1,0)</f>
        <v>1</v>
      </c>
      <c r="Q17" s="2" t="str">
        <f aca="false">IF(AND(M17=1,P17=1),"① 최우선 지원",IF(P17=1,"② 예방 대상",IF(M17=1,"③ 구조적 공백","④ 관찰")))</f>
        <v>② 예방 대상</v>
      </c>
      <c r="R17" s="9" t="n">
        <v>0.4207</v>
      </c>
      <c r="S17" s="2" t="n">
        <f aca="false">RANK(R17,$R$2:$R$230,0)</f>
        <v>23</v>
      </c>
    </row>
    <row r="18" customFormat="false" ht="15" hidden="false" customHeight="false" outlineLevel="0" collapsed="false">
      <c r="A18" s="2" t="s">
        <v>95</v>
      </c>
      <c r="B18" s="3" t="s">
        <v>54</v>
      </c>
      <c r="C18" s="3" t="s">
        <v>96</v>
      </c>
      <c r="D18" s="2" t="n">
        <v>2025</v>
      </c>
      <c r="E18" s="2" t="n">
        <v>2028</v>
      </c>
      <c r="F18" s="2" t="n">
        <v>529</v>
      </c>
      <c r="G18" s="2" t="n">
        <v>11</v>
      </c>
      <c r="H18" s="8" t="n">
        <v>20.7939508506616</v>
      </c>
      <c r="I18" s="2" t="n">
        <v>0</v>
      </c>
      <c r="J18" s="2" t="n">
        <v>1</v>
      </c>
      <c r="K18" s="2" t="n">
        <f aca="false">IF(H18&lt;=PERCENTILE($H$2:$H$230,설명!$B$26),1,0)</f>
        <v>0</v>
      </c>
      <c r="L18" s="2" t="n">
        <f aca="false">IF(I18=0,1,0)</f>
        <v>1</v>
      </c>
      <c r="M18" s="2" t="n">
        <f aca="false">L18</f>
        <v>1</v>
      </c>
      <c r="N18" s="9" t="n">
        <v>0.4508</v>
      </c>
      <c r="O18" s="2" t="n">
        <f aca="false">RANK(N18,$N$2:$N$230,0)</f>
        <v>17</v>
      </c>
      <c r="P18" s="2" t="n">
        <f aca="false">IF(O18&lt;=설명!$B$25,1,0)</f>
        <v>1</v>
      </c>
      <c r="Q18" s="2" t="str">
        <f aca="false">IF(AND(M18=1,P18=1),"① 최우선 지원",IF(P18=1,"② 예방 대상",IF(M18=1,"③ 구조적 공백","④ 관찰")))</f>
        <v>① 최우선 지원</v>
      </c>
      <c r="R18" s="9" t="n">
        <v>0.4792</v>
      </c>
      <c r="S18" s="2" t="n">
        <f aca="false">RANK(R18,$R$2:$R$230,0)</f>
        <v>14</v>
      </c>
    </row>
    <row r="19" customFormat="false" ht="15" hidden="false" customHeight="false" outlineLevel="0" collapsed="false">
      <c r="A19" s="2" t="s">
        <v>68</v>
      </c>
      <c r="B19" s="3" t="s">
        <v>66</v>
      </c>
      <c r="C19" s="3" t="s">
        <v>69</v>
      </c>
      <c r="D19" s="2" t="n">
        <v>2025</v>
      </c>
      <c r="E19" s="2" t="n">
        <v>2028</v>
      </c>
      <c r="F19" s="2" t="n">
        <v>6479</v>
      </c>
      <c r="G19" s="2" t="n">
        <v>141</v>
      </c>
      <c r="H19" s="8" t="n">
        <v>21.7626176879148</v>
      </c>
      <c r="I19" s="2" t="n">
        <v>10</v>
      </c>
      <c r="J19" s="2" t="n">
        <v>25</v>
      </c>
      <c r="K19" s="2" t="n">
        <f aca="false">IF(H19&lt;=PERCENTILE($H$2:$H$230,설명!$B$26),1,0)</f>
        <v>0</v>
      </c>
      <c r="L19" s="2" t="n">
        <f aca="false">IF(I19=0,1,0)</f>
        <v>0</v>
      </c>
      <c r="M19" s="2" t="n">
        <f aca="false">L19</f>
        <v>0</v>
      </c>
      <c r="N19" s="9" t="n">
        <v>0.4474</v>
      </c>
      <c r="O19" s="2" t="n">
        <f aca="false">RANK(N19,$N$2:$N$230,0)</f>
        <v>18</v>
      </c>
      <c r="P19" s="2" t="n">
        <f aca="false">IF(O19&lt;=설명!$B$25,1,0)</f>
        <v>1</v>
      </c>
      <c r="Q19" s="2" t="str">
        <f aca="false">IF(AND(M19=1,P19=1),"① 최우선 지원",IF(P19=1,"② 예방 대상",IF(M19=1,"③ 구조적 공백","④ 관찰")))</f>
        <v>② 예방 대상</v>
      </c>
      <c r="R19" s="9" t="n">
        <v>0.4799</v>
      </c>
      <c r="S19" s="2" t="n">
        <f aca="false">RANK(R19,$R$2:$R$230,0)</f>
        <v>13</v>
      </c>
    </row>
    <row r="20" customFormat="false" ht="15" hidden="false" customHeight="false" outlineLevel="0" collapsed="false">
      <c r="A20" s="2" t="s">
        <v>81</v>
      </c>
      <c r="B20" s="3" t="s">
        <v>54</v>
      </c>
      <c r="C20" s="3" t="s">
        <v>82</v>
      </c>
      <c r="D20" s="2" t="n">
        <v>2025</v>
      </c>
      <c r="E20" s="2" t="n">
        <v>2028</v>
      </c>
      <c r="F20" s="2" t="n">
        <v>889</v>
      </c>
      <c r="G20" s="2" t="n">
        <v>27</v>
      </c>
      <c r="H20" s="8" t="n">
        <v>30.3712035995501</v>
      </c>
      <c r="I20" s="2" t="n">
        <v>0</v>
      </c>
      <c r="J20" s="2" t="n">
        <v>1</v>
      </c>
      <c r="K20" s="2" t="n">
        <f aca="false">IF(H20&lt;=PERCENTILE($H$2:$H$230,설명!$B$26),1,0)</f>
        <v>0</v>
      </c>
      <c r="L20" s="2" t="n">
        <f aca="false">IF(I20=0,1,0)</f>
        <v>1</v>
      </c>
      <c r="M20" s="2" t="n">
        <f aca="false">L20</f>
        <v>1</v>
      </c>
      <c r="N20" s="9" t="n">
        <v>0.4464</v>
      </c>
      <c r="O20" s="2" t="n">
        <f aca="false">RANK(N20,$N$2:$N$230,0)</f>
        <v>19</v>
      </c>
      <c r="P20" s="2" t="n">
        <f aca="false">IF(O20&lt;=설명!$B$25,1,0)</f>
        <v>1</v>
      </c>
      <c r="Q20" s="2" t="str">
        <f aca="false">IF(AND(M20=1,P20=1),"① 최우선 지원",IF(P20=1,"② 예방 대상",IF(M20=1,"③ 구조적 공백","④ 관찰")))</f>
        <v>① 최우선 지원</v>
      </c>
      <c r="R20" s="9" t="n">
        <v>0.4639</v>
      </c>
      <c r="S20" s="2" t="n">
        <f aca="false">RANK(R20,$R$2:$R$230,0)</f>
        <v>17</v>
      </c>
    </row>
    <row r="21" customFormat="false" ht="15" hidden="false" customHeight="false" outlineLevel="0" collapsed="false">
      <c r="A21" s="2" t="s">
        <v>60</v>
      </c>
      <c r="B21" s="3" t="s">
        <v>54</v>
      </c>
      <c r="C21" s="3" t="s">
        <v>61</v>
      </c>
      <c r="D21" s="2" t="n">
        <v>2025</v>
      </c>
      <c r="E21" s="2" t="n">
        <v>2028</v>
      </c>
      <c r="F21" s="2" t="n">
        <v>12270</v>
      </c>
      <c r="G21" s="2" t="n">
        <v>221</v>
      </c>
      <c r="H21" s="8" t="n">
        <v>18.0114099429503</v>
      </c>
      <c r="I21" s="2" t="n">
        <v>16</v>
      </c>
      <c r="J21" s="2" t="n">
        <v>70</v>
      </c>
      <c r="K21" s="2" t="n">
        <f aca="false">IF(H21&lt;=PERCENTILE($H$2:$H$230,설명!$B$26),1,0)</f>
        <v>0</v>
      </c>
      <c r="L21" s="2" t="n">
        <f aca="false">IF(I21=0,1,0)</f>
        <v>0</v>
      </c>
      <c r="M21" s="2" t="n">
        <f aca="false">L21</f>
        <v>0</v>
      </c>
      <c r="N21" s="9" t="n">
        <v>0.4458</v>
      </c>
      <c r="O21" s="2" t="n">
        <f aca="false">RANK(N21,$N$2:$N$230,0)</f>
        <v>20</v>
      </c>
      <c r="P21" s="2" t="n">
        <f aca="false">IF(O21&lt;=설명!$B$25,1,0)</f>
        <v>1</v>
      </c>
      <c r="Q21" s="2" t="str">
        <f aca="false">IF(AND(M21=1,P21=1),"① 최우선 지원",IF(P21=1,"② 예방 대상",IF(M21=1,"③ 구조적 공백","④ 관찰")))</f>
        <v>② 예방 대상</v>
      </c>
      <c r="R21" s="9" t="n">
        <v>0.3969</v>
      </c>
      <c r="S21" s="2" t="n">
        <f aca="false">RANK(R21,$R$2:$R$230,0)</f>
        <v>33</v>
      </c>
    </row>
    <row r="22" customFormat="false" ht="15" hidden="false" customHeight="false" outlineLevel="0" collapsed="false">
      <c r="A22" s="2" t="s">
        <v>105</v>
      </c>
      <c r="B22" s="3" t="s">
        <v>66</v>
      </c>
      <c r="C22" s="3" t="s">
        <v>106</v>
      </c>
      <c r="D22" s="2" t="n">
        <v>2025</v>
      </c>
      <c r="E22" s="2" t="n">
        <v>2028</v>
      </c>
      <c r="F22" s="2" t="n">
        <v>2962</v>
      </c>
      <c r="G22" s="2" t="n">
        <v>70</v>
      </c>
      <c r="H22" s="8" t="n">
        <v>23.6326806212019</v>
      </c>
      <c r="I22" s="2" t="n">
        <v>5</v>
      </c>
      <c r="J22" s="2" t="n">
        <v>12</v>
      </c>
      <c r="K22" s="2" t="n">
        <f aca="false">IF(H22&lt;=PERCENTILE($H$2:$H$230,설명!$B$26),1,0)</f>
        <v>0</v>
      </c>
      <c r="L22" s="2" t="n">
        <f aca="false">IF(I22=0,1,0)</f>
        <v>0</v>
      </c>
      <c r="M22" s="2" t="n">
        <f aca="false">L22</f>
        <v>0</v>
      </c>
      <c r="N22" s="9" t="n">
        <v>0.4388</v>
      </c>
      <c r="O22" s="2" t="n">
        <f aca="false">RANK(N22,$N$2:$N$230,0)</f>
        <v>21</v>
      </c>
      <c r="P22" s="2" t="n">
        <f aca="false">IF(O22&lt;=설명!$B$25,1,0)</f>
        <v>1</v>
      </c>
      <c r="Q22" s="2" t="str">
        <f aca="false">IF(AND(M22=1,P22=1),"① 최우선 지원",IF(P22=1,"② 예방 대상",IF(M22=1,"③ 구조적 공백","④ 관찰")))</f>
        <v>② 예방 대상</v>
      </c>
      <c r="R22" s="9" t="n">
        <v>0.4263</v>
      </c>
      <c r="S22" s="2" t="n">
        <f aca="false">RANK(R22,$R$2:$R$230,0)</f>
        <v>21</v>
      </c>
    </row>
    <row r="23" customFormat="false" ht="15" hidden="false" customHeight="false" outlineLevel="0" collapsed="false">
      <c r="A23" s="2" t="s">
        <v>92</v>
      </c>
      <c r="B23" s="3" t="s">
        <v>93</v>
      </c>
      <c r="C23" s="3" t="s">
        <v>94</v>
      </c>
      <c r="D23" s="2" t="n">
        <v>2025</v>
      </c>
      <c r="E23" s="2" t="n">
        <v>2028</v>
      </c>
      <c r="F23" s="2" t="n">
        <v>7008</v>
      </c>
      <c r="G23" s="2" t="n">
        <v>134</v>
      </c>
      <c r="H23" s="8" t="n">
        <v>19.12100456621</v>
      </c>
      <c r="I23" s="2" t="n">
        <v>7</v>
      </c>
      <c r="J23" s="2" t="n">
        <v>48</v>
      </c>
      <c r="K23" s="2" t="n">
        <f aca="false">IF(H23&lt;=PERCENTILE($H$2:$H$230,설명!$B$26),1,0)</f>
        <v>0</v>
      </c>
      <c r="L23" s="2" t="n">
        <f aca="false">IF(I23=0,1,0)</f>
        <v>0</v>
      </c>
      <c r="M23" s="2" t="n">
        <f aca="false">L23</f>
        <v>0</v>
      </c>
      <c r="N23" s="9" t="n">
        <v>0.4314</v>
      </c>
      <c r="O23" s="2" t="n">
        <f aca="false">RANK(N23,$N$2:$N$230,0)</f>
        <v>22</v>
      </c>
      <c r="P23" s="2" t="n">
        <f aca="false">IF(O23&lt;=설명!$B$25,1,0)</f>
        <v>1</v>
      </c>
      <c r="Q23" s="2" t="str">
        <f aca="false">IF(AND(M23=1,P23=1),"① 최우선 지원",IF(P23=1,"② 예방 대상",IF(M23=1,"③ 구조적 공백","④ 관찰")))</f>
        <v>② 예방 대상</v>
      </c>
      <c r="R23" s="9" t="n">
        <v>0.4662</v>
      </c>
      <c r="S23" s="2" t="n">
        <f aca="false">RANK(R23,$R$2:$R$230,0)</f>
        <v>16</v>
      </c>
    </row>
    <row r="24" customFormat="false" ht="15" hidden="false" customHeight="false" outlineLevel="0" collapsed="false">
      <c r="A24" s="2" t="s">
        <v>155</v>
      </c>
      <c r="B24" s="3" t="s">
        <v>108</v>
      </c>
      <c r="C24" s="3" t="s">
        <v>114</v>
      </c>
      <c r="D24" s="2" t="n">
        <v>2025</v>
      </c>
      <c r="E24" s="2" t="n">
        <v>2028</v>
      </c>
      <c r="F24" s="2" t="n">
        <v>6196</v>
      </c>
      <c r="G24" s="2" t="n">
        <v>114</v>
      </c>
      <c r="H24" s="8" t="n">
        <v>18.3989670755326</v>
      </c>
      <c r="I24" s="2" t="n">
        <v>5</v>
      </c>
      <c r="J24" s="2" t="n">
        <v>21</v>
      </c>
      <c r="K24" s="2" t="n">
        <f aca="false">IF(H24&lt;=PERCENTILE($H$2:$H$230,설명!$B$26),1,0)</f>
        <v>0</v>
      </c>
      <c r="L24" s="2" t="n">
        <f aca="false">IF(I24=0,1,0)</f>
        <v>0</v>
      </c>
      <c r="M24" s="2" t="n">
        <f aca="false">L24</f>
        <v>0</v>
      </c>
      <c r="N24" s="9" t="n">
        <v>0.4307</v>
      </c>
      <c r="O24" s="2" t="n">
        <f aca="false">RANK(N24,$N$2:$N$230,0)</f>
        <v>23</v>
      </c>
      <c r="P24" s="2" t="n">
        <f aca="false">IF(O24&lt;=설명!$B$25,1,0)</f>
        <v>1</v>
      </c>
      <c r="Q24" s="2" t="str">
        <f aca="false">IF(AND(M24=1,P24=1),"① 최우선 지원",IF(P24=1,"② 예방 대상",IF(M24=1,"③ 구조적 공백","④ 관찰")))</f>
        <v>② 예방 대상</v>
      </c>
      <c r="R24" s="9" t="n">
        <v>0.3929</v>
      </c>
      <c r="S24" s="2" t="n">
        <f aca="false">RANK(R24,$R$2:$R$230,0)</f>
        <v>36</v>
      </c>
    </row>
    <row r="25" customFormat="false" ht="15" hidden="false" customHeight="false" outlineLevel="0" collapsed="false">
      <c r="A25" s="2" t="s">
        <v>117</v>
      </c>
      <c r="B25" s="3" t="s">
        <v>54</v>
      </c>
      <c r="C25" s="3" t="s">
        <v>118</v>
      </c>
      <c r="D25" s="2" t="n">
        <v>2025</v>
      </c>
      <c r="E25" s="2" t="n">
        <v>2028</v>
      </c>
      <c r="F25" s="2" t="n">
        <v>1717</v>
      </c>
      <c r="G25" s="2" t="n">
        <v>39</v>
      </c>
      <c r="H25" s="8" t="n">
        <v>22.7140361094933</v>
      </c>
      <c r="I25" s="2" t="n">
        <v>1</v>
      </c>
      <c r="J25" s="2" t="n">
        <v>6</v>
      </c>
      <c r="K25" s="2" t="n">
        <f aca="false">IF(H25&lt;=PERCENTILE($H$2:$H$230,설명!$B$26),1,0)</f>
        <v>0</v>
      </c>
      <c r="L25" s="2" t="n">
        <f aca="false">IF(I25=0,1,0)</f>
        <v>0</v>
      </c>
      <c r="M25" s="2" t="n">
        <f aca="false">L25</f>
        <v>0</v>
      </c>
      <c r="N25" s="9" t="n">
        <v>0.4115</v>
      </c>
      <c r="O25" s="2" t="n">
        <f aca="false">RANK(N25,$N$2:$N$230,0)</f>
        <v>24</v>
      </c>
      <c r="P25" s="2" t="n">
        <f aca="false">IF(O25&lt;=설명!$B$25,1,0)</f>
        <v>1</v>
      </c>
      <c r="Q25" s="2" t="str">
        <f aca="false">IF(AND(M25=1,P25=1),"① 최우선 지원",IF(P25=1,"② 예방 대상",IF(M25=1,"③ 구조적 공백","④ 관찰")))</f>
        <v>② 예방 대상</v>
      </c>
      <c r="R25" s="9" t="n">
        <v>0.3703</v>
      </c>
      <c r="S25" s="2" t="n">
        <f aca="false">RANK(R25,$R$2:$R$230,0)</f>
        <v>46</v>
      </c>
    </row>
    <row r="26" customFormat="false" ht="15" hidden="false" customHeight="false" outlineLevel="0" collapsed="false">
      <c r="A26" s="2" t="s">
        <v>130</v>
      </c>
      <c r="B26" s="3" t="s">
        <v>120</v>
      </c>
      <c r="C26" s="3" t="s">
        <v>131</v>
      </c>
      <c r="D26" s="2" t="n">
        <v>2025</v>
      </c>
      <c r="E26" s="2" t="n">
        <v>2028</v>
      </c>
      <c r="F26" s="2" t="n">
        <v>6039</v>
      </c>
      <c r="G26" s="2" t="n">
        <v>138</v>
      </c>
      <c r="H26" s="8" t="n">
        <v>22.8514654744163</v>
      </c>
      <c r="I26" s="2" t="n">
        <v>12</v>
      </c>
      <c r="J26" s="2" t="n">
        <v>21</v>
      </c>
      <c r="K26" s="2" t="n">
        <f aca="false">IF(H26&lt;=PERCENTILE($H$2:$H$230,설명!$B$26),1,0)</f>
        <v>0</v>
      </c>
      <c r="L26" s="2" t="n">
        <f aca="false">IF(I26=0,1,0)</f>
        <v>0</v>
      </c>
      <c r="M26" s="2" t="n">
        <f aca="false">L26</f>
        <v>0</v>
      </c>
      <c r="N26" s="9" t="n">
        <v>0.4076</v>
      </c>
      <c r="O26" s="2" t="n">
        <f aca="false">RANK(N26,$N$2:$N$230,0)</f>
        <v>25</v>
      </c>
      <c r="P26" s="2" t="n">
        <f aca="false">IF(O26&lt;=설명!$B$25,1,0)</f>
        <v>1</v>
      </c>
      <c r="Q26" s="2" t="str">
        <f aca="false">IF(AND(M26=1,P26=1),"① 최우선 지원",IF(P26=1,"② 예방 대상",IF(M26=1,"③ 구조적 공백","④ 관찰")))</f>
        <v>② 예방 대상</v>
      </c>
      <c r="R26" s="9" t="n">
        <v>0.4039</v>
      </c>
      <c r="S26" s="2" t="n">
        <f aca="false">RANK(R26,$R$2:$R$230,0)</f>
        <v>28</v>
      </c>
    </row>
    <row r="27" customFormat="false" ht="15" hidden="false" customHeight="false" outlineLevel="0" collapsed="false">
      <c r="A27" s="2" t="s">
        <v>141</v>
      </c>
      <c r="B27" s="3" t="s">
        <v>66</v>
      </c>
      <c r="C27" s="3" t="s">
        <v>142</v>
      </c>
      <c r="D27" s="2" t="n">
        <v>2025</v>
      </c>
      <c r="E27" s="2" t="n">
        <v>2028</v>
      </c>
      <c r="F27" s="2" t="n">
        <v>5236</v>
      </c>
      <c r="G27" s="2" t="n">
        <v>104</v>
      </c>
      <c r="H27" s="8" t="n">
        <v>19.8624904507257</v>
      </c>
      <c r="I27" s="2" t="n">
        <v>12</v>
      </c>
      <c r="J27" s="2" t="n">
        <v>31</v>
      </c>
      <c r="K27" s="2" t="n">
        <f aca="false">IF(H27&lt;=PERCENTILE($H$2:$H$230,설명!$B$26),1,0)</f>
        <v>0</v>
      </c>
      <c r="L27" s="2" t="n">
        <f aca="false">IF(I27=0,1,0)</f>
        <v>0</v>
      </c>
      <c r="M27" s="2" t="n">
        <f aca="false">L27</f>
        <v>0</v>
      </c>
      <c r="N27" s="9" t="n">
        <v>0.3965</v>
      </c>
      <c r="O27" s="2" t="n">
        <f aca="false">RANK(N27,$N$2:$N$230,0)</f>
        <v>26</v>
      </c>
      <c r="P27" s="2" t="n">
        <f aca="false">IF(O27&lt;=설명!$B$25,1,0)</f>
        <v>1</v>
      </c>
      <c r="Q27" s="2" t="str">
        <f aca="false">IF(AND(M27=1,P27=1),"① 최우선 지원",IF(P27=1,"② 예방 대상",IF(M27=1,"③ 구조적 공백","④ 관찰")))</f>
        <v>② 예방 대상</v>
      </c>
      <c r="R27" s="9" t="n">
        <v>0.3887</v>
      </c>
      <c r="S27" s="2" t="n">
        <f aca="false">RANK(R27,$R$2:$R$230,0)</f>
        <v>38</v>
      </c>
    </row>
    <row r="28" customFormat="false" ht="15" hidden="false" customHeight="false" outlineLevel="0" collapsed="false">
      <c r="A28" s="2" t="s">
        <v>83</v>
      </c>
      <c r="B28" s="3" t="s">
        <v>76</v>
      </c>
      <c r="C28" s="3" t="s">
        <v>84</v>
      </c>
      <c r="D28" s="2" t="n">
        <v>2025</v>
      </c>
      <c r="E28" s="2" t="n">
        <v>2028</v>
      </c>
      <c r="F28" s="2" t="n">
        <v>13391</v>
      </c>
      <c r="G28" s="2" t="n">
        <v>260</v>
      </c>
      <c r="H28" s="8" t="n">
        <v>19.4160256888955</v>
      </c>
      <c r="I28" s="2" t="n">
        <v>19</v>
      </c>
      <c r="J28" s="2" t="n">
        <v>49</v>
      </c>
      <c r="K28" s="2" t="n">
        <f aca="false">IF(H28&lt;=PERCENTILE($H$2:$H$230,설명!$B$26),1,0)</f>
        <v>0</v>
      </c>
      <c r="L28" s="2" t="n">
        <f aca="false">IF(I28=0,1,0)</f>
        <v>0</v>
      </c>
      <c r="M28" s="2" t="n">
        <f aca="false">L28</f>
        <v>0</v>
      </c>
      <c r="N28" s="9" t="n">
        <v>0.3919</v>
      </c>
      <c r="O28" s="2" t="n">
        <f aca="false">RANK(N28,$N$2:$N$230,0)</f>
        <v>27</v>
      </c>
      <c r="P28" s="2" t="n">
        <f aca="false">IF(O28&lt;=설명!$B$25,1,0)</f>
        <v>1</v>
      </c>
      <c r="Q28" s="2" t="str">
        <f aca="false">IF(AND(M28=1,P28=1),"① 최우선 지원",IF(P28=1,"② 예방 대상",IF(M28=1,"③ 구조적 공백","④ 관찰")))</f>
        <v>② 예방 대상</v>
      </c>
      <c r="R28" s="9" t="n">
        <v>0.4919</v>
      </c>
      <c r="S28" s="2" t="n">
        <f aca="false">RANK(R28,$R$2:$R$230,0)</f>
        <v>10</v>
      </c>
    </row>
    <row r="29" customFormat="false" ht="15" hidden="false" customHeight="false" outlineLevel="0" collapsed="false">
      <c r="A29" s="2" t="s">
        <v>185</v>
      </c>
      <c r="B29" s="3" t="s">
        <v>66</v>
      </c>
      <c r="C29" s="3" t="s">
        <v>186</v>
      </c>
      <c r="D29" s="2" t="n">
        <v>2025</v>
      </c>
      <c r="E29" s="2" t="n">
        <v>2028</v>
      </c>
      <c r="F29" s="2" t="n">
        <v>2729</v>
      </c>
      <c r="G29" s="2" t="n">
        <v>53</v>
      </c>
      <c r="H29" s="8" t="n">
        <v>19.4210333455478</v>
      </c>
      <c r="I29" s="2" t="n">
        <v>4</v>
      </c>
      <c r="J29" s="2" t="n">
        <v>6</v>
      </c>
      <c r="K29" s="2" t="n">
        <f aca="false">IF(H29&lt;=PERCENTILE($H$2:$H$230,설명!$B$26),1,0)</f>
        <v>0</v>
      </c>
      <c r="L29" s="2" t="n">
        <f aca="false">IF(I29=0,1,0)</f>
        <v>0</v>
      </c>
      <c r="M29" s="2" t="n">
        <f aca="false">L29</f>
        <v>0</v>
      </c>
      <c r="N29" s="9" t="n">
        <v>0.377</v>
      </c>
      <c r="O29" s="2" t="n">
        <f aca="false">RANK(N29,$N$2:$N$230,0)</f>
        <v>28</v>
      </c>
      <c r="P29" s="2" t="n">
        <f aca="false">IF(O29&lt;=설명!$B$25,1,0)</f>
        <v>1</v>
      </c>
      <c r="Q29" s="2" t="str">
        <f aca="false">IF(AND(M29=1,P29=1),"① 최우선 지원",IF(P29=1,"② 예방 대상",IF(M29=1,"③ 구조적 공백","④ 관찰")))</f>
        <v>② 예방 대상</v>
      </c>
      <c r="R29" s="9" t="n">
        <v>0.3758</v>
      </c>
      <c r="S29" s="2" t="n">
        <f aca="false">RANK(R29,$R$2:$R$230,0)</f>
        <v>41</v>
      </c>
    </row>
    <row r="30" customFormat="false" ht="15" hidden="false" customHeight="false" outlineLevel="0" collapsed="false">
      <c r="A30" s="2" t="s">
        <v>112</v>
      </c>
      <c r="B30" s="3" t="s">
        <v>113</v>
      </c>
      <c r="C30" s="3" t="s">
        <v>114</v>
      </c>
      <c r="D30" s="2" t="n">
        <v>2025</v>
      </c>
      <c r="E30" s="2" t="n">
        <v>2028</v>
      </c>
      <c r="F30" s="2" t="n">
        <v>4149</v>
      </c>
      <c r="G30" s="2" t="n">
        <v>68</v>
      </c>
      <c r="H30" s="8" t="n">
        <v>16.3894914437214</v>
      </c>
      <c r="I30" s="2" t="n">
        <v>4</v>
      </c>
      <c r="J30" s="2" t="n">
        <v>24</v>
      </c>
      <c r="K30" s="2" t="n">
        <f aca="false">IF(H30&lt;=PERCENTILE($H$2:$H$230,설명!$B$26),1,0)</f>
        <v>0</v>
      </c>
      <c r="L30" s="2" t="n">
        <f aca="false">IF(I30=0,1,0)</f>
        <v>0</v>
      </c>
      <c r="M30" s="2" t="n">
        <f aca="false">L30</f>
        <v>0</v>
      </c>
      <c r="N30" s="9" t="n">
        <v>0.3747</v>
      </c>
      <c r="O30" s="2" t="n">
        <f aca="false">RANK(N30,$N$2:$N$230,0)</f>
        <v>29</v>
      </c>
      <c r="P30" s="2" t="n">
        <f aca="false">IF(O30&lt;=설명!$B$25,1,0)</f>
        <v>1</v>
      </c>
      <c r="Q30" s="2" t="str">
        <f aca="false">IF(AND(M30=1,P30=1),"① 최우선 지원",IF(P30=1,"② 예방 대상",IF(M30=1,"③ 구조적 공백","④ 관찰")))</f>
        <v>② 예방 대상</v>
      </c>
      <c r="R30" s="9" t="n">
        <v>0.3985</v>
      </c>
      <c r="S30" s="2" t="n">
        <f aca="false">RANK(R30,$R$2:$R$230,0)</f>
        <v>32</v>
      </c>
    </row>
    <row r="31" customFormat="false" ht="15" hidden="false" customHeight="false" outlineLevel="0" collapsed="false">
      <c r="A31" s="2" t="s">
        <v>143</v>
      </c>
      <c r="B31" s="3" t="s">
        <v>66</v>
      </c>
      <c r="C31" s="3" t="s">
        <v>144</v>
      </c>
      <c r="D31" s="2" t="n">
        <v>2025</v>
      </c>
      <c r="E31" s="2" t="n">
        <v>2028</v>
      </c>
      <c r="F31" s="2" t="n">
        <v>1326</v>
      </c>
      <c r="G31" s="2" t="n">
        <v>26</v>
      </c>
      <c r="H31" s="8" t="n">
        <v>19.6078431372549</v>
      </c>
      <c r="I31" s="2" t="n">
        <v>0</v>
      </c>
      <c r="J31" s="2" t="n">
        <v>1</v>
      </c>
      <c r="K31" s="2" t="n">
        <f aca="false">IF(H31&lt;=PERCENTILE($H$2:$H$230,설명!$B$26),1,0)</f>
        <v>0</v>
      </c>
      <c r="L31" s="2" t="n">
        <f aca="false">IF(I31=0,1,0)</f>
        <v>1</v>
      </c>
      <c r="M31" s="2" t="n">
        <f aca="false">L31</f>
        <v>1</v>
      </c>
      <c r="N31" s="9" t="n">
        <v>0.3707</v>
      </c>
      <c r="O31" s="2" t="n">
        <f aca="false">RANK(N31,$N$2:$N$230,0)</f>
        <v>30</v>
      </c>
      <c r="P31" s="2" t="n">
        <f aca="false">IF(O31&lt;=설명!$B$25,1,0)</f>
        <v>1</v>
      </c>
      <c r="Q31" s="2" t="str">
        <f aca="false">IF(AND(M31=1,P31=1),"① 최우선 지원",IF(P31=1,"② 예방 대상",IF(M31=1,"③ 구조적 공백","④ 관찰")))</f>
        <v>① 최우선 지원</v>
      </c>
      <c r="R31" s="9" t="n">
        <v>0.3126</v>
      </c>
      <c r="S31" s="2" t="n">
        <f aca="false">RANK(R31,$R$2:$R$230,0)</f>
        <v>69</v>
      </c>
    </row>
    <row r="32" customFormat="false" ht="15" hidden="false" customHeight="false" outlineLevel="0" collapsed="false">
      <c r="A32" s="2" t="s">
        <v>119</v>
      </c>
      <c r="B32" s="3" t="s">
        <v>120</v>
      </c>
      <c r="C32" s="3" t="s">
        <v>121</v>
      </c>
      <c r="D32" s="2" t="n">
        <v>2025</v>
      </c>
      <c r="E32" s="2" t="n">
        <v>2028</v>
      </c>
      <c r="F32" s="2" t="n">
        <v>4681</v>
      </c>
      <c r="G32" s="2" t="n">
        <v>100</v>
      </c>
      <c r="H32" s="8" t="n">
        <v>21.362956633198</v>
      </c>
      <c r="I32" s="2" t="n">
        <v>10</v>
      </c>
      <c r="J32" s="2" t="n">
        <v>14</v>
      </c>
      <c r="K32" s="2" t="n">
        <f aca="false">IF(H32&lt;=PERCENTILE($H$2:$H$230,설명!$B$26),1,0)</f>
        <v>0</v>
      </c>
      <c r="L32" s="2" t="n">
        <f aca="false">IF(I32=0,1,0)</f>
        <v>0</v>
      </c>
      <c r="M32" s="2" t="n">
        <f aca="false">L32</f>
        <v>0</v>
      </c>
      <c r="N32" s="9" t="n">
        <v>0.3706</v>
      </c>
      <c r="O32" s="2" t="n">
        <f aca="false">RANK(N32,$N$2:$N$230,0)</f>
        <v>31</v>
      </c>
      <c r="P32" s="2" t="n">
        <f aca="false">IF(O32&lt;=설명!$B$25,1,0)</f>
        <v>1</v>
      </c>
      <c r="Q32" s="2" t="str">
        <f aca="false">IF(AND(M32=1,P32=1),"① 최우선 지원",IF(P32=1,"② 예방 대상",IF(M32=1,"③ 구조적 공백","④ 관찰")))</f>
        <v>② 예방 대상</v>
      </c>
      <c r="R32" s="9" t="n">
        <v>0.4007</v>
      </c>
      <c r="S32" s="2" t="n">
        <f aca="false">RANK(R32,$R$2:$R$230,0)</f>
        <v>30</v>
      </c>
    </row>
    <row r="33" customFormat="false" ht="15" hidden="false" customHeight="false" outlineLevel="0" collapsed="false">
      <c r="A33" s="2" t="s">
        <v>251</v>
      </c>
      <c r="B33" s="3" t="s">
        <v>153</v>
      </c>
      <c r="C33" s="3" t="s">
        <v>252</v>
      </c>
      <c r="D33" s="2" t="n">
        <v>2025</v>
      </c>
      <c r="E33" s="2" t="n">
        <v>2028</v>
      </c>
      <c r="F33" s="2" t="n">
        <v>6420</v>
      </c>
      <c r="G33" s="2" t="n">
        <v>133</v>
      </c>
      <c r="H33" s="8" t="n">
        <v>20.7165109034268</v>
      </c>
      <c r="I33" s="2" t="n">
        <v>9</v>
      </c>
      <c r="J33" s="2" t="n">
        <v>29</v>
      </c>
      <c r="K33" s="2" t="n">
        <f aca="false">IF(H33&lt;=PERCENTILE($H$2:$H$230,설명!$B$26),1,0)</f>
        <v>0</v>
      </c>
      <c r="L33" s="2" t="n">
        <f aca="false">IF(I33=0,1,0)</f>
        <v>0</v>
      </c>
      <c r="M33" s="2" t="n">
        <f aca="false">L33</f>
        <v>0</v>
      </c>
      <c r="N33" s="9" t="n">
        <v>0.3696</v>
      </c>
      <c r="O33" s="2" t="n">
        <f aca="false">RANK(N33,$N$2:$N$230,0)</f>
        <v>32</v>
      </c>
      <c r="P33" s="2" t="n">
        <f aca="false">IF(O33&lt;=설명!$B$25,1,0)</f>
        <v>1</v>
      </c>
      <c r="Q33" s="2" t="str">
        <f aca="false">IF(AND(M33=1,P33=1),"① 최우선 지원",IF(P33=1,"② 예방 대상",IF(M33=1,"③ 구조적 공백","④ 관찰")))</f>
        <v>② 예방 대상</v>
      </c>
      <c r="R33" s="9" t="n">
        <v>0.3941</v>
      </c>
      <c r="S33" s="2" t="n">
        <f aca="false">RANK(R33,$R$2:$R$230,0)</f>
        <v>35</v>
      </c>
    </row>
    <row r="34" customFormat="false" ht="15" hidden="false" customHeight="false" outlineLevel="0" collapsed="false">
      <c r="A34" s="2" t="s">
        <v>147</v>
      </c>
      <c r="B34" s="3" t="s">
        <v>120</v>
      </c>
      <c r="C34" s="3" t="s">
        <v>148</v>
      </c>
      <c r="D34" s="2" t="n">
        <v>2025</v>
      </c>
      <c r="E34" s="2" t="n">
        <v>2028</v>
      </c>
      <c r="F34" s="2" t="n">
        <v>4875</v>
      </c>
      <c r="G34" s="2" t="n">
        <v>103</v>
      </c>
      <c r="H34" s="8" t="n">
        <v>21.1282051282051</v>
      </c>
      <c r="I34" s="2" t="n">
        <v>8</v>
      </c>
      <c r="J34" s="2" t="n">
        <v>20</v>
      </c>
      <c r="K34" s="2" t="n">
        <f aca="false">IF(H34&lt;=PERCENTILE($H$2:$H$230,설명!$B$26),1,0)</f>
        <v>0</v>
      </c>
      <c r="L34" s="2" t="n">
        <f aca="false">IF(I34=0,1,0)</f>
        <v>0</v>
      </c>
      <c r="M34" s="2" t="n">
        <f aca="false">L34</f>
        <v>0</v>
      </c>
      <c r="N34" s="9" t="n">
        <v>0.3681</v>
      </c>
      <c r="O34" s="2" t="n">
        <f aca="false">RANK(N34,$N$2:$N$230,0)</f>
        <v>33</v>
      </c>
      <c r="P34" s="2" t="n">
        <f aca="false">IF(O34&lt;=설명!$B$25,1,0)</f>
        <v>1</v>
      </c>
      <c r="Q34" s="2" t="str">
        <f aca="false">IF(AND(M34=1,P34=1),"① 최우선 지원",IF(P34=1,"② 예방 대상",IF(M34=1,"③ 구조적 공백","④ 관찰")))</f>
        <v>② 예방 대상</v>
      </c>
      <c r="R34" s="9" t="n">
        <v>0.3917</v>
      </c>
      <c r="S34" s="2" t="n">
        <f aca="false">RANK(R34,$R$2:$R$230,0)</f>
        <v>37</v>
      </c>
    </row>
    <row r="35" customFormat="false" ht="15" hidden="false" customHeight="false" outlineLevel="0" collapsed="false">
      <c r="A35" s="2" t="s">
        <v>149</v>
      </c>
      <c r="B35" s="3" t="s">
        <v>71</v>
      </c>
      <c r="C35" s="3" t="s">
        <v>114</v>
      </c>
      <c r="D35" s="2" t="n">
        <v>2025</v>
      </c>
      <c r="E35" s="2" t="n">
        <v>2028</v>
      </c>
      <c r="F35" s="2" t="n">
        <v>1192</v>
      </c>
      <c r="G35" s="2" t="n">
        <v>30</v>
      </c>
      <c r="H35" s="8" t="n">
        <v>25.1677852348993</v>
      </c>
      <c r="I35" s="2" t="n">
        <v>2</v>
      </c>
      <c r="J35" s="2" t="n">
        <v>4</v>
      </c>
      <c r="K35" s="2" t="n">
        <f aca="false">IF(H35&lt;=PERCENTILE($H$2:$H$230,설명!$B$26),1,0)</f>
        <v>0</v>
      </c>
      <c r="L35" s="2" t="n">
        <f aca="false">IF(I35=0,1,0)</f>
        <v>0</v>
      </c>
      <c r="M35" s="2" t="n">
        <f aca="false">L35</f>
        <v>0</v>
      </c>
      <c r="N35" s="9" t="n">
        <v>0.3664</v>
      </c>
      <c r="O35" s="2" t="n">
        <f aca="false">RANK(N35,$N$2:$N$230,0)</f>
        <v>34</v>
      </c>
      <c r="P35" s="2" t="n">
        <f aca="false">IF(O35&lt;=설명!$B$25,1,0)</f>
        <v>1</v>
      </c>
      <c r="Q35" s="2" t="str">
        <f aca="false">IF(AND(M35=1,P35=1),"① 최우선 지원",IF(P35=1,"② 예방 대상",IF(M35=1,"③ 구조적 공백","④ 관찰")))</f>
        <v>② 예방 대상</v>
      </c>
      <c r="R35" s="9" t="n">
        <v>0.368</v>
      </c>
      <c r="S35" s="2" t="n">
        <f aca="false">RANK(R35,$R$2:$R$230,0)</f>
        <v>48</v>
      </c>
    </row>
    <row r="36" customFormat="false" ht="15" hidden="false" customHeight="false" outlineLevel="0" collapsed="false">
      <c r="A36" s="2" t="s">
        <v>139</v>
      </c>
      <c r="B36" s="3" t="s">
        <v>76</v>
      </c>
      <c r="C36" s="3" t="s">
        <v>140</v>
      </c>
      <c r="D36" s="2" t="n">
        <v>2025</v>
      </c>
      <c r="E36" s="2" t="n">
        <v>2028</v>
      </c>
      <c r="F36" s="2" t="n">
        <v>1246</v>
      </c>
      <c r="G36" s="2" t="n">
        <v>30</v>
      </c>
      <c r="H36" s="8" t="n">
        <v>24.0770465489567</v>
      </c>
      <c r="I36" s="2" t="n">
        <v>1</v>
      </c>
      <c r="J36" s="2" t="n">
        <v>2</v>
      </c>
      <c r="K36" s="2" t="n">
        <f aca="false">IF(H36&lt;=PERCENTILE($H$2:$H$230,설명!$B$26),1,0)</f>
        <v>0</v>
      </c>
      <c r="L36" s="2" t="n">
        <f aca="false">IF(I36=0,1,0)</f>
        <v>0</v>
      </c>
      <c r="M36" s="2" t="n">
        <f aca="false">L36</f>
        <v>0</v>
      </c>
      <c r="N36" s="9" t="n">
        <v>0.3638</v>
      </c>
      <c r="O36" s="2" t="n">
        <f aca="false">RANK(N36,$N$2:$N$230,0)</f>
        <v>35</v>
      </c>
      <c r="P36" s="2" t="n">
        <f aca="false">IF(O36&lt;=설명!$B$25,1,0)</f>
        <v>1</v>
      </c>
      <c r="Q36" s="2" t="str">
        <f aca="false">IF(AND(M36=1,P36=1),"① 최우선 지원",IF(P36=1,"② 예방 대상",IF(M36=1,"③ 구조적 공백","④ 관찰")))</f>
        <v>② 예방 대상</v>
      </c>
      <c r="R36" s="9" t="n">
        <v>0.5057</v>
      </c>
      <c r="S36" s="2" t="n">
        <f aca="false">RANK(R36,$R$2:$R$230,0)</f>
        <v>8</v>
      </c>
    </row>
    <row r="37" customFormat="false" ht="15" hidden="false" customHeight="false" outlineLevel="0" collapsed="false">
      <c r="A37" s="2" t="s">
        <v>158</v>
      </c>
      <c r="B37" s="3" t="s">
        <v>153</v>
      </c>
      <c r="C37" s="3" t="s">
        <v>159</v>
      </c>
      <c r="D37" s="2" t="n">
        <v>2025</v>
      </c>
      <c r="E37" s="2" t="n">
        <v>2028</v>
      </c>
      <c r="F37" s="2" t="n">
        <v>1609</v>
      </c>
      <c r="G37" s="2" t="n">
        <v>45</v>
      </c>
      <c r="H37" s="8" t="n">
        <v>27.9676817899316</v>
      </c>
      <c r="I37" s="2" t="n">
        <v>2</v>
      </c>
      <c r="J37" s="2" t="n">
        <v>7</v>
      </c>
      <c r="K37" s="2" t="n">
        <f aca="false">IF(H37&lt;=PERCENTILE($H$2:$H$230,설명!$B$26),1,0)</f>
        <v>0</v>
      </c>
      <c r="L37" s="2" t="n">
        <f aca="false">IF(I37=0,1,0)</f>
        <v>0</v>
      </c>
      <c r="M37" s="2" t="n">
        <f aca="false">L37</f>
        <v>0</v>
      </c>
      <c r="N37" s="9" t="n">
        <v>0.36</v>
      </c>
      <c r="O37" s="2" t="n">
        <f aca="false">RANK(N37,$N$2:$N$230,0)</f>
        <v>36</v>
      </c>
      <c r="P37" s="2" t="n">
        <f aca="false">IF(O37&lt;=설명!$B$25,1,0)</f>
        <v>1</v>
      </c>
      <c r="Q37" s="2" t="str">
        <f aca="false">IF(AND(M37=1,P37=1),"① 최우선 지원",IF(P37=1,"② 예방 대상",IF(M37=1,"③ 구조적 공백","④ 관찰")))</f>
        <v>② 예방 대상</v>
      </c>
      <c r="R37" s="9" t="n">
        <v>0.4859</v>
      </c>
      <c r="S37" s="2" t="n">
        <f aca="false">RANK(R37,$R$2:$R$230,0)</f>
        <v>12</v>
      </c>
    </row>
    <row r="38" customFormat="false" ht="15" hidden="false" customHeight="false" outlineLevel="0" collapsed="false">
      <c r="A38" s="2" t="s">
        <v>178</v>
      </c>
      <c r="B38" s="3" t="s">
        <v>63</v>
      </c>
      <c r="C38" s="3" t="s">
        <v>179</v>
      </c>
      <c r="D38" s="2" t="n">
        <v>2025</v>
      </c>
      <c r="E38" s="2" t="n">
        <v>2028</v>
      </c>
      <c r="F38" s="2" t="n">
        <v>1518</v>
      </c>
      <c r="G38" s="2" t="n">
        <v>32</v>
      </c>
      <c r="H38" s="8" t="n">
        <v>21.0803689064559</v>
      </c>
      <c r="I38" s="2" t="n">
        <v>2</v>
      </c>
      <c r="J38" s="2" t="n">
        <v>2</v>
      </c>
      <c r="K38" s="2" t="n">
        <f aca="false">IF(H38&lt;=PERCENTILE($H$2:$H$230,설명!$B$26),1,0)</f>
        <v>0</v>
      </c>
      <c r="L38" s="2" t="n">
        <f aca="false">IF(I38=0,1,0)</f>
        <v>0</v>
      </c>
      <c r="M38" s="2" t="n">
        <f aca="false">L38</f>
        <v>0</v>
      </c>
      <c r="N38" s="9" t="n">
        <v>0.3594</v>
      </c>
      <c r="O38" s="2" t="n">
        <f aca="false">RANK(N38,$N$2:$N$230,0)</f>
        <v>37</v>
      </c>
      <c r="P38" s="2" t="n">
        <f aca="false">IF(O38&lt;=설명!$B$25,1,0)</f>
        <v>1</v>
      </c>
      <c r="Q38" s="2" t="str">
        <f aca="false">IF(AND(M38=1,P38=1),"① 최우선 지원",IF(P38=1,"② 예방 대상",IF(M38=1,"③ 구조적 공백","④ 관찰")))</f>
        <v>② 예방 대상</v>
      </c>
      <c r="R38" s="9" t="n">
        <v>0.4244</v>
      </c>
      <c r="S38" s="2" t="n">
        <f aca="false">RANK(R38,$R$2:$R$230,0)</f>
        <v>22</v>
      </c>
    </row>
    <row r="39" customFormat="false" ht="15" hidden="false" customHeight="false" outlineLevel="0" collapsed="false">
      <c r="A39" s="2" t="s">
        <v>85</v>
      </c>
      <c r="B39" s="3" t="s">
        <v>54</v>
      </c>
      <c r="C39" s="3" t="s">
        <v>86</v>
      </c>
      <c r="D39" s="2" t="n">
        <v>2025</v>
      </c>
      <c r="E39" s="2" t="n">
        <v>2028</v>
      </c>
      <c r="F39" s="2" t="n">
        <v>2650</v>
      </c>
      <c r="G39" s="2" t="n">
        <v>60</v>
      </c>
      <c r="H39" s="8" t="n">
        <v>22.6415094339623</v>
      </c>
      <c r="I39" s="2" t="n">
        <v>2</v>
      </c>
      <c r="J39" s="2" t="n">
        <v>13</v>
      </c>
      <c r="K39" s="2" t="n">
        <f aca="false">IF(H39&lt;=PERCENTILE($H$2:$H$230,설명!$B$26),1,0)</f>
        <v>0</v>
      </c>
      <c r="L39" s="2" t="n">
        <f aca="false">IF(I39=0,1,0)</f>
        <v>0</v>
      </c>
      <c r="M39" s="2" t="n">
        <f aca="false">L39</f>
        <v>0</v>
      </c>
      <c r="N39" s="9" t="n">
        <v>0.3581</v>
      </c>
      <c r="O39" s="2" t="n">
        <f aca="false">RANK(N39,$N$2:$N$230,0)</f>
        <v>38</v>
      </c>
      <c r="P39" s="2" t="n">
        <f aca="false">IF(O39&lt;=설명!$B$25,1,0)</f>
        <v>1</v>
      </c>
      <c r="Q39" s="2" t="str">
        <f aca="false">IF(AND(M39=1,P39=1),"① 최우선 지원",IF(P39=1,"② 예방 대상",IF(M39=1,"③ 구조적 공백","④ 관찰")))</f>
        <v>② 예방 대상</v>
      </c>
      <c r="R39" s="9" t="n">
        <v>0.3326</v>
      </c>
      <c r="S39" s="2" t="n">
        <f aca="false">RANK(R39,$R$2:$R$230,0)</f>
        <v>61</v>
      </c>
    </row>
    <row r="40" customFormat="false" ht="15" hidden="false" customHeight="false" outlineLevel="0" collapsed="false">
      <c r="A40" s="2" t="s">
        <v>128</v>
      </c>
      <c r="B40" s="3" t="s">
        <v>90</v>
      </c>
      <c r="C40" s="3" t="s">
        <v>129</v>
      </c>
      <c r="D40" s="2" t="n">
        <v>2025</v>
      </c>
      <c r="E40" s="2" t="n">
        <v>2028</v>
      </c>
      <c r="F40" s="2" t="n">
        <v>1308</v>
      </c>
      <c r="G40" s="2" t="n">
        <v>27</v>
      </c>
      <c r="H40" s="8" t="n">
        <v>20.6422018348624</v>
      </c>
      <c r="I40" s="2" t="n">
        <v>2</v>
      </c>
      <c r="J40" s="2" t="n">
        <v>8</v>
      </c>
      <c r="K40" s="2" t="n">
        <f aca="false">IF(H40&lt;=PERCENTILE($H$2:$H$230,설명!$B$26),1,0)</f>
        <v>0</v>
      </c>
      <c r="L40" s="2" t="n">
        <f aca="false">IF(I40=0,1,0)</f>
        <v>0</v>
      </c>
      <c r="M40" s="2" t="n">
        <f aca="false">L40</f>
        <v>0</v>
      </c>
      <c r="N40" s="9" t="n">
        <v>0.3486</v>
      </c>
      <c r="O40" s="2" t="n">
        <f aca="false">RANK(N40,$N$2:$N$230,0)</f>
        <v>39</v>
      </c>
      <c r="P40" s="2" t="n">
        <f aca="false">IF(O40&lt;=설명!$B$25,1,0)</f>
        <v>1</v>
      </c>
      <c r="Q40" s="2" t="str">
        <f aca="false">IF(AND(M40=1,P40=1),"① 최우선 지원",IF(P40=1,"② 예방 대상",IF(M40=1,"③ 구조적 공백","④ 관찰")))</f>
        <v>② 예방 대상</v>
      </c>
      <c r="R40" s="9" t="n">
        <v>0.4139</v>
      </c>
      <c r="S40" s="2" t="n">
        <f aca="false">RANK(R40,$R$2:$R$230,0)</f>
        <v>25</v>
      </c>
    </row>
    <row r="41" customFormat="false" ht="15" hidden="false" customHeight="false" outlineLevel="0" collapsed="false">
      <c r="A41" s="2" t="s">
        <v>203</v>
      </c>
      <c r="B41" s="3" t="s">
        <v>204</v>
      </c>
      <c r="C41" s="3" t="s">
        <v>205</v>
      </c>
      <c r="D41" s="2" t="n">
        <v>2025</v>
      </c>
      <c r="E41" s="2" t="n">
        <v>2028</v>
      </c>
      <c r="F41" s="2" t="n">
        <v>2392</v>
      </c>
      <c r="G41" s="2" t="n">
        <v>49</v>
      </c>
      <c r="H41" s="8" t="n">
        <v>20.4849498327759</v>
      </c>
      <c r="I41" s="2" t="n">
        <v>3</v>
      </c>
      <c r="J41" s="2" t="n">
        <v>5</v>
      </c>
      <c r="K41" s="2" t="n">
        <f aca="false">IF(H41&lt;=PERCENTILE($H$2:$H$230,설명!$B$26),1,0)</f>
        <v>0</v>
      </c>
      <c r="L41" s="2" t="n">
        <f aca="false">IF(I41=0,1,0)</f>
        <v>0</v>
      </c>
      <c r="M41" s="2" t="n">
        <f aca="false">L41</f>
        <v>0</v>
      </c>
      <c r="N41" s="9" t="n">
        <v>0.3451</v>
      </c>
      <c r="O41" s="2" t="n">
        <f aca="false">RANK(N41,$N$2:$N$230,0)</f>
        <v>40</v>
      </c>
      <c r="P41" s="2" t="n">
        <f aca="false">IF(O41&lt;=설명!$B$25,1,0)</f>
        <v>1</v>
      </c>
      <c r="Q41" s="2" t="str">
        <f aca="false">IF(AND(M41=1,P41=1),"① 최우선 지원",IF(P41=1,"② 예방 대상",IF(M41=1,"③ 구조적 공백","④ 관찰")))</f>
        <v>② 예방 대상</v>
      </c>
      <c r="R41" s="9" t="n">
        <v>0.4715</v>
      </c>
      <c r="S41" s="2" t="n">
        <f aca="false">RANK(R41,$R$2:$R$230,0)</f>
        <v>15</v>
      </c>
    </row>
    <row r="42" customFormat="false" ht="15" hidden="false" customHeight="false" outlineLevel="0" collapsed="false">
      <c r="A42" s="2" t="s">
        <v>281</v>
      </c>
      <c r="B42" s="3" t="s">
        <v>66</v>
      </c>
      <c r="C42" s="3" t="s">
        <v>282</v>
      </c>
      <c r="D42" s="2" t="n">
        <v>2025</v>
      </c>
      <c r="E42" s="2" t="n">
        <v>2028</v>
      </c>
      <c r="F42" s="2" t="n">
        <v>5467</v>
      </c>
      <c r="G42" s="2" t="n">
        <v>129</v>
      </c>
      <c r="H42" s="8" t="n">
        <v>23.5961221876715</v>
      </c>
      <c r="I42" s="2" t="n">
        <v>8</v>
      </c>
      <c r="J42" s="2" t="n">
        <v>18</v>
      </c>
      <c r="K42" s="2" t="n">
        <f aca="false">IF(H42&lt;=PERCENTILE($H$2:$H$230,설명!$B$26),1,0)</f>
        <v>0</v>
      </c>
      <c r="L42" s="2" t="n">
        <f aca="false">IF(I42=0,1,0)</f>
        <v>0</v>
      </c>
      <c r="M42" s="2" t="n">
        <f aca="false">L42</f>
        <v>0</v>
      </c>
      <c r="N42" s="9" t="n">
        <v>0.3443</v>
      </c>
      <c r="O42" s="2" t="n">
        <f aca="false">RANK(N42,$N$2:$N$230,0)</f>
        <v>41</v>
      </c>
      <c r="P42" s="2" t="n">
        <f aca="false">IF(O42&lt;=설명!$B$25,1,0)</f>
        <v>1</v>
      </c>
      <c r="Q42" s="2" t="str">
        <f aca="false">IF(AND(M42=1,P42=1),"① 최우선 지원",IF(P42=1,"② 예방 대상",IF(M42=1,"③ 구조적 공백","④ 관찰")))</f>
        <v>② 예방 대상</v>
      </c>
      <c r="R42" s="9" t="n">
        <v>0.3592</v>
      </c>
      <c r="S42" s="2" t="n">
        <f aca="false">RANK(R42,$R$2:$R$230,0)</f>
        <v>51</v>
      </c>
    </row>
    <row r="43" customFormat="false" ht="15" hidden="false" customHeight="false" outlineLevel="0" collapsed="false">
      <c r="A43" s="2" t="s">
        <v>184</v>
      </c>
      <c r="B43" s="3" t="s">
        <v>108</v>
      </c>
      <c r="C43" s="3" t="s">
        <v>104</v>
      </c>
      <c r="D43" s="2" t="n">
        <v>2025</v>
      </c>
      <c r="E43" s="2" t="n">
        <v>2028</v>
      </c>
      <c r="F43" s="2" t="n">
        <v>6142</v>
      </c>
      <c r="G43" s="2" t="n">
        <v>104</v>
      </c>
      <c r="H43" s="8" t="n">
        <v>16.9325952458483</v>
      </c>
      <c r="I43" s="2" t="n">
        <v>6</v>
      </c>
      <c r="J43" s="2" t="n">
        <v>39</v>
      </c>
      <c r="K43" s="2" t="n">
        <f aca="false">IF(H43&lt;=PERCENTILE($H$2:$H$230,설명!$B$26),1,0)</f>
        <v>0</v>
      </c>
      <c r="L43" s="2" t="n">
        <f aca="false">IF(I43=0,1,0)</f>
        <v>0</v>
      </c>
      <c r="M43" s="2" t="n">
        <f aca="false">L43</f>
        <v>0</v>
      </c>
      <c r="N43" s="9" t="n">
        <v>0.3387</v>
      </c>
      <c r="O43" s="2" t="n">
        <f aca="false">RANK(N43,$N$2:$N$230,0)</f>
        <v>42</v>
      </c>
      <c r="P43" s="2" t="n">
        <f aca="false">IF(O43&lt;=설명!$B$25,1,0)</f>
        <v>1</v>
      </c>
      <c r="Q43" s="2" t="str">
        <f aca="false">IF(AND(M43=1,P43=1),"① 최우선 지원",IF(P43=1,"② 예방 대상",IF(M43=1,"③ 구조적 공백","④ 관찰")))</f>
        <v>② 예방 대상</v>
      </c>
      <c r="R43" s="9" t="n">
        <v>0.2521</v>
      </c>
      <c r="S43" s="2" t="n">
        <f aca="false">RANK(R43,$R$2:$R$230,0)</f>
        <v>99</v>
      </c>
    </row>
    <row r="44" customFormat="false" ht="15" hidden="false" customHeight="false" outlineLevel="0" collapsed="false">
      <c r="A44" s="2" t="s">
        <v>194</v>
      </c>
      <c r="B44" s="3" t="s">
        <v>63</v>
      </c>
      <c r="C44" s="3" t="s">
        <v>195</v>
      </c>
      <c r="D44" s="2" t="n">
        <v>2025</v>
      </c>
      <c r="E44" s="2" t="n">
        <v>2028</v>
      </c>
      <c r="F44" s="2" t="n">
        <v>5310</v>
      </c>
      <c r="G44" s="2" t="n">
        <v>111</v>
      </c>
      <c r="H44" s="8" t="n">
        <v>20.9039548022599</v>
      </c>
      <c r="I44" s="2" t="n">
        <v>5</v>
      </c>
      <c r="J44" s="2" t="n">
        <v>10</v>
      </c>
      <c r="K44" s="2" t="n">
        <f aca="false">IF(H44&lt;=PERCENTILE($H$2:$H$230,설명!$B$26),1,0)</f>
        <v>0</v>
      </c>
      <c r="L44" s="2" t="n">
        <f aca="false">IF(I44=0,1,0)</f>
        <v>0</v>
      </c>
      <c r="M44" s="2" t="n">
        <f aca="false">L44</f>
        <v>0</v>
      </c>
      <c r="N44" s="9" t="n">
        <v>0.3326</v>
      </c>
      <c r="O44" s="2" t="n">
        <f aca="false">RANK(N44,$N$2:$N$230,0)</f>
        <v>43</v>
      </c>
      <c r="P44" s="2" t="n">
        <f aca="false">IF(O44&lt;=설명!$B$25,1,0)</f>
        <v>1</v>
      </c>
      <c r="Q44" s="2" t="str">
        <f aca="false">IF(AND(M44=1,P44=1),"① 최우선 지원",IF(P44=1,"② 예방 대상",IF(M44=1,"③ 구조적 공백","④ 관찰")))</f>
        <v>② 예방 대상</v>
      </c>
      <c r="R44" s="9" t="n">
        <v>0.3686</v>
      </c>
      <c r="S44" s="2" t="n">
        <f aca="false">RANK(R44,$R$2:$R$230,0)</f>
        <v>47</v>
      </c>
    </row>
    <row r="45" customFormat="false" ht="15" hidden="false" customHeight="false" outlineLevel="0" collapsed="false">
      <c r="A45" s="2" t="s">
        <v>126</v>
      </c>
      <c r="B45" s="3" t="s">
        <v>63</v>
      </c>
      <c r="C45" s="3" t="s">
        <v>127</v>
      </c>
      <c r="D45" s="2" t="n">
        <v>2025</v>
      </c>
      <c r="E45" s="2" t="n">
        <v>2028</v>
      </c>
      <c r="F45" s="2" t="n">
        <v>1988</v>
      </c>
      <c r="G45" s="2" t="n">
        <v>41</v>
      </c>
      <c r="H45" s="8" t="n">
        <v>20.6237424547284</v>
      </c>
      <c r="I45" s="2" t="n">
        <v>3</v>
      </c>
      <c r="J45" s="2" t="n">
        <v>6</v>
      </c>
      <c r="K45" s="2" t="n">
        <f aca="false">IF(H45&lt;=PERCENTILE($H$2:$H$230,설명!$B$26),1,0)</f>
        <v>0</v>
      </c>
      <c r="L45" s="2" t="n">
        <f aca="false">IF(I45=0,1,0)</f>
        <v>0</v>
      </c>
      <c r="M45" s="2" t="n">
        <f aca="false">L45</f>
        <v>0</v>
      </c>
      <c r="N45" s="9" t="n">
        <v>0.3319</v>
      </c>
      <c r="O45" s="2" t="n">
        <f aca="false">RANK(N45,$N$2:$N$230,0)</f>
        <v>44</v>
      </c>
      <c r="P45" s="2" t="n">
        <f aca="false">IF(O45&lt;=설명!$B$25,1,0)</f>
        <v>1</v>
      </c>
      <c r="Q45" s="2" t="str">
        <f aca="false">IF(AND(M45=1,P45=1),"① 최우선 지원",IF(P45=1,"② 예방 대상",IF(M45=1,"③ 구조적 공백","④ 관찰")))</f>
        <v>② 예방 대상</v>
      </c>
      <c r="R45" s="9" t="n">
        <v>0.4472</v>
      </c>
      <c r="S45" s="2" t="n">
        <f aca="false">RANK(R45,$R$2:$R$230,0)</f>
        <v>18</v>
      </c>
    </row>
    <row r="46" customFormat="false" ht="15" hidden="false" customHeight="false" outlineLevel="0" collapsed="false">
      <c r="A46" s="2" t="s">
        <v>110</v>
      </c>
      <c r="B46" s="3" t="s">
        <v>63</v>
      </c>
      <c r="C46" s="3" t="s">
        <v>111</v>
      </c>
      <c r="D46" s="2" t="n">
        <v>2025</v>
      </c>
      <c r="E46" s="2" t="n">
        <v>2028</v>
      </c>
      <c r="F46" s="2" t="n">
        <v>5818</v>
      </c>
      <c r="G46" s="2" t="n">
        <v>101</v>
      </c>
      <c r="H46" s="8" t="n">
        <v>17.3599174974218</v>
      </c>
      <c r="I46" s="2" t="n">
        <v>5</v>
      </c>
      <c r="J46" s="2" t="n">
        <v>9</v>
      </c>
      <c r="K46" s="2" t="n">
        <f aca="false">IF(H46&lt;=PERCENTILE($H$2:$H$230,설명!$B$26),1,0)</f>
        <v>0</v>
      </c>
      <c r="L46" s="2" t="n">
        <f aca="false">IF(I46=0,1,0)</f>
        <v>0</v>
      </c>
      <c r="M46" s="2" t="n">
        <f aca="false">L46</f>
        <v>0</v>
      </c>
      <c r="N46" s="9" t="n">
        <v>0.3312</v>
      </c>
      <c r="O46" s="2" t="n">
        <f aca="false">RANK(N46,$N$2:$N$230,0)</f>
        <v>45</v>
      </c>
      <c r="P46" s="2" t="n">
        <f aca="false">IF(O46&lt;=설명!$B$25,1,0)</f>
        <v>1</v>
      </c>
      <c r="Q46" s="2" t="str">
        <f aca="false">IF(AND(M46=1,P46=1),"① 최우선 지원",IF(P46=1,"② 예방 대상",IF(M46=1,"③ 구조적 공백","④ 관찰")))</f>
        <v>② 예방 대상</v>
      </c>
      <c r="R46" s="9" t="n">
        <v>0.3719</v>
      </c>
      <c r="S46" s="2" t="n">
        <f aca="false">RANK(R46,$R$2:$R$230,0)</f>
        <v>44</v>
      </c>
    </row>
    <row r="47" customFormat="false" ht="15" hidden="false" customHeight="false" outlineLevel="0" collapsed="false">
      <c r="A47" s="2" t="s">
        <v>62</v>
      </c>
      <c r="B47" s="3" t="s">
        <v>63</v>
      </c>
      <c r="C47" s="3" t="s">
        <v>64</v>
      </c>
      <c r="D47" s="2" t="n">
        <v>2025</v>
      </c>
      <c r="E47" s="2" t="n">
        <v>2028</v>
      </c>
      <c r="F47" s="2" t="n">
        <v>22707</v>
      </c>
      <c r="G47" s="2" t="n">
        <v>456</v>
      </c>
      <c r="H47" s="8" t="n">
        <v>20.0819130664553</v>
      </c>
      <c r="I47" s="2" t="n">
        <v>22</v>
      </c>
      <c r="J47" s="2" t="n">
        <v>88</v>
      </c>
      <c r="K47" s="2" t="n">
        <f aca="false">IF(H47&lt;=PERCENTILE($H$2:$H$230,설명!$B$26),1,0)</f>
        <v>0</v>
      </c>
      <c r="L47" s="2" t="n">
        <f aca="false">IF(I47=0,1,0)</f>
        <v>0</v>
      </c>
      <c r="M47" s="2" t="n">
        <f aca="false">L47</f>
        <v>0</v>
      </c>
      <c r="N47" s="9" t="n">
        <v>0.3281</v>
      </c>
      <c r="O47" s="2" t="n">
        <f aca="false">RANK(N47,$N$2:$N$230,0)</f>
        <v>46</v>
      </c>
      <c r="P47" s="2" t="n">
        <f aca="false">IF(O47&lt;=설명!$B$25,1,0)</f>
        <v>1</v>
      </c>
      <c r="Q47" s="2" t="str">
        <f aca="false">IF(AND(M47=1,P47=1),"① 최우선 지원",IF(P47=1,"② 예방 대상",IF(M47=1,"③ 구조적 공백","④ 관찰")))</f>
        <v>② 예방 대상</v>
      </c>
      <c r="R47" s="9" t="n">
        <v>0.2956</v>
      </c>
      <c r="S47" s="2" t="n">
        <f aca="false">RANK(R47,$R$2:$R$230,0)</f>
        <v>78</v>
      </c>
    </row>
    <row r="48" customFormat="false" ht="15" hidden="false" customHeight="false" outlineLevel="0" collapsed="false">
      <c r="A48" s="2" t="s">
        <v>180</v>
      </c>
      <c r="B48" s="3" t="s">
        <v>79</v>
      </c>
      <c r="C48" s="3" t="s">
        <v>181</v>
      </c>
      <c r="D48" s="2" t="n">
        <v>2025</v>
      </c>
      <c r="E48" s="2" t="n">
        <v>2028</v>
      </c>
      <c r="F48" s="2" t="n">
        <v>1789</v>
      </c>
      <c r="G48" s="2" t="n">
        <v>31</v>
      </c>
      <c r="H48" s="8" t="n">
        <v>17.3281162660704</v>
      </c>
      <c r="I48" s="2" t="n">
        <v>2</v>
      </c>
      <c r="J48" s="2" t="n">
        <v>10</v>
      </c>
      <c r="K48" s="2" t="n">
        <f aca="false">IF(H48&lt;=PERCENTILE($H$2:$H$230,설명!$B$26),1,0)</f>
        <v>0</v>
      </c>
      <c r="L48" s="2" t="n">
        <f aca="false">IF(I48=0,1,0)</f>
        <v>0</v>
      </c>
      <c r="M48" s="2" t="n">
        <f aca="false">L48</f>
        <v>0</v>
      </c>
      <c r="N48" s="9" t="n">
        <v>0.3271</v>
      </c>
      <c r="O48" s="2" t="n">
        <f aca="false">RANK(N48,$N$2:$N$230,0)</f>
        <v>47</v>
      </c>
      <c r="P48" s="2" t="n">
        <f aca="false">IF(O48&lt;=설명!$B$25,1,0)</f>
        <v>0</v>
      </c>
      <c r="Q48" s="2" t="str">
        <f aca="false">IF(AND(M48=1,P48=1),"① 최우선 지원",IF(P48=1,"② 예방 대상",IF(M48=1,"③ 구조적 공백","④ 관찰")))</f>
        <v>④ 관찰</v>
      </c>
      <c r="R48" s="9" t="n">
        <v>0.2887</v>
      </c>
      <c r="S48" s="2" t="n">
        <f aca="false">RANK(R48,$R$2:$R$230,0)</f>
        <v>82</v>
      </c>
    </row>
    <row r="49" customFormat="false" ht="15" hidden="false" customHeight="false" outlineLevel="0" collapsed="false">
      <c r="A49" s="2" t="s">
        <v>245</v>
      </c>
      <c r="B49" s="3" t="s">
        <v>66</v>
      </c>
      <c r="C49" s="3" t="s">
        <v>246</v>
      </c>
      <c r="D49" s="2" t="n">
        <v>2025</v>
      </c>
      <c r="E49" s="2" t="n">
        <v>2028</v>
      </c>
      <c r="F49" s="2" t="n">
        <v>23118</v>
      </c>
      <c r="G49" s="2" t="n">
        <v>433</v>
      </c>
      <c r="H49" s="8" t="n">
        <v>18.7299939441128</v>
      </c>
      <c r="I49" s="2" t="n">
        <v>39</v>
      </c>
      <c r="J49" s="2" t="n">
        <v>73</v>
      </c>
      <c r="K49" s="2" t="n">
        <f aca="false">IF(H49&lt;=PERCENTILE($H$2:$H$230,설명!$B$26),1,0)</f>
        <v>0</v>
      </c>
      <c r="L49" s="2" t="n">
        <f aca="false">IF(I49=0,1,0)</f>
        <v>0</v>
      </c>
      <c r="M49" s="2" t="n">
        <f aca="false">L49</f>
        <v>0</v>
      </c>
      <c r="N49" s="9" t="n">
        <v>0.3243</v>
      </c>
      <c r="O49" s="2" t="n">
        <f aca="false">RANK(N49,$N$2:$N$230,0)</f>
        <v>48</v>
      </c>
      <c r="P49" s="2" t="n">
        <f aca="false">IF(O49&lt;=설명!$B$25,1,0)</f>
        <v>0</v>
      </c>
      <c r="Q49" s="2" t="str">
        <f aca="false">IF(AND(M49=1,P49=1),"① 최우선 지원",IF(P49=1,"② 예방 대상",IF(M49=1,"③ 구조적 공백","④ 관찰")))</f>
        <v>④ 관찰</v>
      </c>
      <c r="R49" s="9" t="n">
        <v>0.3751</v>
      </c>
      <c r="S49" s="2" t="n">
        <f aca="false">RANK(R49,$R$2:$R$230,0)</f>
        <v>42</v>
      </c>
    </row>
    <row r="50" customFormat="false" ht="15" hidden="false" customHeight="false" outlineLevel="0" collapsed="false">
      <c r="A50" s="2" t="s">
        <v>164</v>
      </c>
      <c r="B50" s="3" t="s">
        <v>108</v>
      </c>
      <c r="C50" s="3" t="s">
        <v>94</v>
      </c>
      <c r="D50" s="2" t="n">
        <v>2025</v>
      </c>
      <c r="E50" s="2" t="n">
        <v>2028</v>
      </c>
      <c r="F50" s="2" t="n">
        <v>14311</v>
      </c>
      <c r="G50" s="2" t="n">
        <v>264</v>
      </c>
      <c r="H50" s="8" t="n">
        <v>18.4473481936972</v>
      </c>
      <c r="I50" s="2" t="n">
        <v>20</v>
      </c>
      <c r="J50" s="2" t="n">
        <v>75</v>
      </c>
      <c r="K50" s="2" t="n">
        <f aca="false">IF(H50&lt;=PERCENTILE($H$2:$H$230,설명!$B$26),1,0)</f>
        <v>0</v>
      </c>
      <c r="L50" s="2" t="n">
        <f aca="false">IF(I50=0,1,0)</f>
        <v>0</v>
      </c>
      <c r="M50" s="2" t="n">
        <f aca="false">L50</f>
        <v>0</v>
      </c>
      <c r="N50" s="9" t="n">
        <v>0.3242</v>
      </c>
      <c r="O50" s="2" t="n">
        <f aca="false">RANK(N50,$N$2:$N$230,0)</f>
        <v>49</v>
      </c>
      <c r="P50" s="2" t="n">
        <f aca="false">IF(O50&lt;=설명!$B$25,1,0)</f>
        <v>0</v>
      </c>
      <c r="Q50" s="2" t="str">
        <f aca="false">IF(AND(M50=1,P50=1),"① 최우선 지원",IF(P50=1,"② 예방 대상",IF(M50=1,"③ 구조적 공백","④ 관찰")))</f>
        <v>④ 관찰</v>
      </c>
      <c r="R50" s="9" t="n">
        <v>0.1925</v>
      </c>
      <c r="S50" s="2" t="n">
        <f aca="false">RANK(R50,$R$2:$R$230,0)</f>
        <v>132</v>
      </c>
    </row>
    <row r="51" customFormat="false" ht="15" hidden="false" customHeight="false" outlineLevel="0" collapsed="false">
      <c r="A51" s="2" t="s">
        <v>132</v>
      </c>
      <c r="B51" s="3" t="s">
        <v>54</v>
      </c>
      <c r="C51" s="3" t="s">
        <v>133</v>
      </c>
      <c r="D51" s="2" t="n">
        <v>2025</v>
      </c>
      <c r="E51" s="2" t="n">
        <v>2028</v>
      </c>
      <c r="F51" s="2" t="n">
        <v>1316</v>
      </c>
      <c r="G51" s="2" t="n">
        <v>23</v>
      </c>
      <c r="H51" s="8" t="n">
        <v>17.4772036474164</v>
      </c>
      <c r="I51" s="2" t="n">
        <v>2</v>
      </c>
      <c r="J51" s="2" t="n">
        <v>4</v>
      </c>
      <c r="K51" s="2" t="n">
        <f aca="false">IF(H51&lt;=PERCENTILE($H$2:$H$230,설명!$B$26),1,0)</f>
        <v>0</v>
      </c>
      <c r="L51" s="2" t="n">
        <f aca="false">IF(I51=0,1,0)</f>
        <v>0</v>
      </c>
      <c r="M51" s="2" t="n">
        <f aca="false">L51</f>
        <v>0</v>
      </c>
      <c r="N51" s="9" t="n">
        <v>0.3208</v>
      </c>
      <c r="O51" s="2" t="n">
        <f aca="false">RANK(N51,$N$2:$N$230,0)</f>
        <v>50</v>
      </c>
      <c r="P51" s="2" t="n">
        <f aca="false">IF(O51&lt;=설명!$B$25,1,0)</f>
        <v>0</v>
      </c>
      <c r="Q51" s="2" t="str">
        <f aca="false">IF(AND(M51=1,P51=1),"① 최우선 지원",IF(P51=1,"② 예방 대상",IF(M51=1,"③ 구조적 공백","④ 관찰")))</f>
        <v>④ 관찰</v>
      </c>
      <c r="R51" s="9" t="n">
        <v>0.3203</v>
      </c>
      <c r="S51" s="2" t="n">
        <f aca="false">RANK(R51,$R$2:$R$230,0)</f>
        <v>65</v>
      </c>
    </row>
    <row r="52" customFormat="false" ht="15" hidden="false" customHeight="false" outlineLevel="0" collapsed="false">
      <c r="A52" s="2" t="s">
        <v>167</v>
      </c>
      <c r="B52" s="3" t="s">
        <v>120</v>
      </c>
      <c r="C52" s="3" t="s">
        <v>168</v>
      </c>
      <c r="D52" s="2" t="n">
        <v>2025</v>
      </c>
      <c r="E52" s="2" t="n">
        <v>2028</v>
      </c>
      <c r="F52" s="2" t="n">
        <v>12018</v>
      </c>
      <c r="G52" s="2" t="n">
        <v>253</v>
      </c>
      <c r="H52" s="8" t="n">
        <v>21.0517556997837</v>
      </c>
      <c r="I52" s="2" t="n">
        <v>24</v>
      </c>
      <c r="J52" s="2" t="n">
        <v>58</v>
      </c>
      <c r="K52" s="2" t="n">
        <f aca="false">IF(H52&lt;=PERCENTILE($H$2:$H$230,설명!$B$26),1,0)</f>
        <v>0</v>
      </c>
      <c r="L52" s="2" t="n">
        <f aca="false">IF(I52=0,1,0)</f>
        <v>0</v>
      </c>
      <c r="M52" s="2" t="n">
        <f aca="false">L52</f>
        <v>0</v>
      </c>
      <c r="N52" s="9" t="n">
        <v>0.3178</v>
      </c>
      <c r="O52" s="2" t="n">
        <f aca="false">RANK(N52,$N$2:$N$230,0)</f>
        <v>51</v>
      </c>
      <c r="P52" s="2" t="n">
        <f aca="false">IF(O52&lt;=설명!$B$25,1,0)</f>
        <v>0</v>
      </c>
      <c r="Q52" s="2" t="str">
        <f aca="false">IF(AND(M52=1,P52=1),"① 최우선 지원",IF(P52=1,"② 예방 대상",IF(M52=1,"③ 구조적 공백","④ 관찰")))</f>
        <v>④ 관찰</v>
      </c>
      <c r="R52" s="9" t="n">
        <v>0.341</v>
      </c>
      <c r="S52" s="2" t="n">
        <f aca="false">RANK(R52,$R$2:$R$230,0)</f>
        <v>57</v>
      </c>
    </row>
    <row r="53" customFormat="false" ht="15" hidden="false" customHeight="false" outlineLevel="0" collapsed="false">
      <c r="A53" s="2" t="s">
        <v>145</v>
      </c>
      <c r="B53" s="3" t="s">
        <v>76</v>
      </c>
      <c r="C53" s="3" t="s">
        <v>146</v>
      </c>
      <c r="D53" s="2" t="n">
        <v>2025</v>
      </c>
      <c r="E53" s="2" t="n">
        <v>2028</v>
      </c>
      <c r="F53" s="2" t="n">
        <v>1752</v>
      </c>
      <c r="G53" s="2" t="n">
        <v>23</v>
      </c>
      <c r="H53" s="8" t="n">
        <v>13.1278538812785</v>
      </c>
      <c r="I53" s="2" t="n">
        <v>3</v>
      </c>
      <c r="J53" s="2" t="n">
        <v>4</v>
      </c>
      <c r="K53" s="2" t="n">
        <f aca="false">IF(H53&lt;=PERCENTILE($H$2:$H$230,설명!$B$26),1,0)</f>
        <v>1</v>
      </c>
      <c r="L53" s="2" t="n">
        <f aca="false">IF(I53=0,1,0)</f>
        <v>0</v>
      </c>
      <c r="M53" s="2" t="n">
        <f aca="false">L53</f>
        <v>0</v>
      </c>
      <c r="N53" s="9" t="n">
        <v>0.3167</v>
      </c>
      <c r="O53" s="2" t="n">
        <f aca="false">RANK(N53,$N$2:$N$230,0)</f>
        <v>52</v>
      </c>
      <c r="P53" s="2" t="n">
        <f aca="false">IF(O53&lt;=설명!$B$25,1,0)</f>
        <v>0</v>
      </c>
      <c r="Q53" s="2" t="str">
        <f aca="false">IF(AND(M53=1,P53=1),"① 최우선 지원",IF(P53=1,"② 예방 대상",IF(M53=1,"③ 구조적 공백","④ 관찰")))</f>
        <v>④ 관찰</v>
      </c>
      <c r="R53" s="9" t="n">
        <v>0.3778</v>
      </c>
      <c r="S53" s="2" t="n">
        <f aca="false">RANK(R53,$R$2:$R$230,0)</f>
        <v>40</v>
      </c>
    </row>
    <row r="54" customFormat="false" ht="15" hidden="false" customHeight="false" outlineLevel="0" collapsed="false">
      <c r="A54" s="2" t="s">
        <v>269</v>
      </c>
      <c r="B54" s="3" t="s">
        <v>79</v>
      </c>
      <c r="C54" s="3" t="s">
        <v>226</v>
      </c>
      <c r="D54" s="2" t="n">
        <v>2025</v>
      </c>
      <c r="E54" s="2" t="n">
        <v>2028</v>
      </c>
      <c r="F54" s="2" t="n">
        <v>5920</v>
      </c>
      <c r="G54" s="2" t="n">
        <v>101</v>
      </c>
      <c r="H54" s="8" t="n">
        <v>17.0608108108108</v>
      </c>
      <c r="I54" s="2" t="n">
        <v>10</v>
      </c>
      <c r="J54" s="2" t="n">
        <v>25</v>
      </c>
      <c r="K54" s="2" t="n">
        <f aca="false">IF(H54&lt;=PERCENTILE($H$2:$H$230,설명!$B$26),1,0)</f>
        <v>0</v>
      </c>
      <c r="L54" s="2" t="n">
        <f aca="false">IF(I54=0,1,0)</f>
        <v>0</v>
      </c>
      <c r="M54" s="2" t="n">
        <f aca="false">L54</f>
        <v>0</v>
      </c>
      <c r="N54" s="9" t="n">
        <v>0.3142</v>
      </c>
      <c r="O54" s="2" t="n">
        <f aca="false">RANK(N54,$N$2:$N$230,0)</f>
        <v>53</v>
      </c>
      <c r="P54" s="2" t="n">
        <f aca="false">IF(O54&lt;=설명!$B$25,1,0)</f>
        <v>0</v>
      </c>
      <c r="Q54" s="2" t="str">
        <f aca="false">IF(AND(M54=1,P54=1),"① 최우선 지원",IF(P54=1,"② 예방 대상",IF(M54=1,"③ 구조적 공백","④ 관찰")))</f>
        <v>④ 관찰</v>
      </c>
      <c r="R54" s="9" t="n">
        <v>0.2747</v>
      </c>
      <c r="S54" s="2" t="n">
        <f aca="false">RANK(R54,$R$2:$R$230,0)</f>
        <v>91</v>
      </c>
    </row>
    <row r="55" customFormat="false" ht="15" hidden="false" customHeight="false" outlineLevel="0" collapsed="false">
      <c r="A55" s="2" t="s">
        <v>175</v>
      </c>
      <c r="B55" s="3" t="s">
        <v>113</v>
      </c>
      <c r="C55" s="3" t="s">
        <v>136</v>
      </c>
      <c r="D55" s="2" t="n">
        <v>2025</v>
      </c>
      <c r="E55" s="2" t="n">
        <v>2028</v>
      </c>
      <c r="F55" s="2" t="n">
        <v>8511</v>
      </c>
      <c r="G55" s="2" t="n">
        <v>143</v>
      </c>
      <c r="H55" s="8" t="n">
        <v>16.8017859240982</v>
      </c>
      <c r="I55" s="2" t="n">
        <v>7</v>
      </c>
      <c r="J55" s="2" t="n">
        <v>25</v>
      </c>
      <c r="K55" s="2" t="n">
        <f aca="false">IF(H55&lt;=PERCENTILE($H$2:$H$230,설명!$B$26),1,0)</f>
        <v>0</v>
      </c>
      <c r="L55" s="2" t="n">
        <f aca="false">IF(I55=0,1,0)</f>
        <v>0</v>
      </c>
      <c r="M55" s="2" t="n">
        <f aca="false">L55</f>
        <v>0</v>
      </c>
      <c r="N55" s="9" t="n">
        <v>0.3128</v>
      </c>
      <c r="O55" s="2" t="n">
        <f aca="false">RANK(N55,$N$2:$N$230,0)</f>
        <v>54</v>
      </c>
      <c r="P55" s="2" t="n">
        <f aca="false">IF(O55&lt;=설명!$B$25,1,0)</f>
        <v>0</v>
      </c>
      <c r="Q55" s="2" t="str">
        <f aca="false">IF(AND(M55=1,P55=1),"① 최우선 지원",IF(P55=1,"② 예방 대상",IF(M55=1,"③ 구조적 공백","④ 관찰")))</f>
        <v>④ 관찰</v>
      </c>
      <c r="R55" s="9" t="n">
        <v>0.3549</v>
      </c>
      <c r="S55" s="2" t="n">
        <f aca="false">RANK(R55,$R$2:$R$230,0)</f>
        <v>52</v>
      </c>
    </row>
    <row r="56" customFormat="false" ht="15" hidden="false" customHeight="false" outlineLevel="0" collapsed="false">
      <c r="A56" s="2" t="s">
        <v>160</v>
      </c>
      <c r="B56" s="3" t="s">
        <v>54</v>
      </c>
      <c r="C56" s="3" t="s">
        <v>161</v>
      </c>
      <c r="D56" s="2" t="n">
        <v>2025</v>
      </c>
      <c r="E56" s="2" t="n">
        <v>2028</v>
      </c>
      <c r="F56" s="2" t="n">
        <v>817</v>
      </c>
      <c r="G56" s="2" t="n">
        <v>19</v>
      </c>
      <c r="H56" s="8" t="n">
        <v>23.2558139534884</v>
      </c>
      <c r="I56" s="2" t="n">
        <v>0</v>
      </c>
      <c r="J56" s="2" t="n">
        <v>2</v>
      </c>
      <c r="K56" s="2" t="n">
        <f aca="false">IF(H56&lt;=PERCENTILE($H$2:$H$230,설명!$B$26),1,0)</f>
        <v>0</v>
      </c>
      <c r="L56" s="2" t="n">
        <f aca="false">IF(I56=0,1,0)</f>
        <v>1</v>
      </c>
      <c r="M56" s="2" t="n">
        <f aca="false">L56</f>
        <v>1</v>
      </c>
      <c r="N56" s="9" t="n">
        <v>0.3125</v>
      </c>
      <c r="O56" s="2" t="n">
        <f aca="false">RANK(N56,$N$2:$N$230,0)</f>
        <v>55</v>
      </c>
      <c r="P56" s="2" t="n">
        <f aca="false">IF(O56&lt;=설명!$B$25,1,0)</f>
        <v>0</v>
      </c>
      <c r="Q56" s="2" t="str">
        <f aca="false">IF(AND(M56=1,P56=1),"① 최우선 지원",IF(P56=1,"② 예방 대상",IF(M56=1,"③ 구조적 공백","④ 관찰")))</f>
        <v>③ 구조적 공백</v>
      </c>
      <c r="R56" s="9" t="n">
        <v>0.3053</v>
      </c>
      <c r="S56" s="2" t="n">
        <f aca="false">RANK(R56,$R$2:$R$230,0)</f>
        <v>73</v>
      </c>
    </row>
    <row r="57" customFormat="false" ht="15" hidden="false" customHeight="false" outlineLevel="0" collapsed="false">
      <c r="A57" s="2" t="s">
        <v>219</v>
      </c>
      <c r="B57" s="3" t="s">
        <v>204</v>
      </c>
      <c r="C57" s="3" t="s">
        <v>220</v>
      </c>
      <c r="D57" s="2" t="n">
        <v>2025</v>
      </c>
      <c r="E57" s="2" t="n">
        <v>2028</v>
      </c>
      <c r="F57" s="2" t="n">
        <v>2191</v>
      </c>
      <c r="G57" s="2" t="n">
        <v>39</v>
      </c>
      <c r="H57" s="8" t="n">
        <v>17.8000912825194</v>
      </c>
      <c r="I57" s="2" t="n">
        <v>5</v>
      </c>
      <c r="J57" s="2" t="n">
        <v>9</v>
      </c>
      <c r="K57" s="2" t="n">
        <f aca="false">IF(H57&lt;=PERCENTILE($H$2:$H$230,설명!$B$26),1,0)</f>
        <v>0</v>
      </c>
      <c r="L57" s="2" t="n">
        <f aca="false">IF(I57=0,1,0)</f>
        <v>0</v>
      </c>
      <c r="M57" s="2" t="n">
        <f aca="false">L57</f>
        <v>0</v>
      </c>
      <c r="N57" s="9" t="n">
        <v>0.3063</v>
      </c>
      <c r="O57" s="2" t="n">
        <f aca="false">RANK(N57,$N$2:$N$230,0)</f>
        <v>56</v>
      </c>
      <c r="P57" s="2" t="n">
        <f aca="false">IF(O57&lt;=설명!$B$25,1,0)</f>
        <v>0</v>
      </c>
      <c r="Q57" s="2" t="str">
        <f aca="false">IF(AND(M57=1,P57=1),"① 최우선 지원",IF(P57=1,"② 예방 대상",IF(M57=1,"③ 구조적 공백","④ 관찰")))</f>
        <v>④ 관찰</v>
      </c>
      <c r="R57" s="9" t="n">
        <v>0.4036</v>
      </c>
      <c r="S57" s="2" t="n">
        <f aca="false">RANK(R57,$R$2:$R$230,0)</f>
        <v>29</v>
      </c>
    </row>
    <row r="58" customFormat="false" ht="15" hidden="false" customHeight="false" outlineLevel="0" collapsed="false">
      <c r="A58" s="2" t="s">
        <v>176</v>
      </c>
      <c r="B58" s="3" t="s">
        <v>54</v>
      </c>
      <c r="C58" s="3" t="s">
        <v>177</v>
      </c>
      <c r="D58" s="2" t="n">
        <v>2025</v>
      </c>
      <c r="E58" s="2" t="n">
        <v>2028</v>
      </c>
      <c r="F58" s="2" t="n">
        <v>520</v>
      </c>
      <c r="G58" s="2" t="n">
        <v>12</v>
      </c>
      <c r="H58" s="8" t="n">
        <v>23.0769230769231</v>
      </c>
      <c r="I58" s="2" t="n">
        <v>0</v>
      </c>
      <c r="J58" s="2" t="n">
        <v>0</v>
      </c>
      <c r="K58" s="2" t="n">
        <f aca="false">IF(H58&lt;=PERCENTILE($H$2:$H$230,설명!$B$26),1,0)</f>
        <v>0</v>
      </c>
      <c r="L58" s="2" t="n">
        <f aca="false">IF(I58=0,1,0)</f>
        <v>1</v>
      </c>
      <c r="M58" s="2" t="n">
        <f aca="false">L58</f>
        <v>1</v>
      </c>
      <c r="N58" s="9" t="n">
        <v>0.3048</v>
      </c>
      <c r="O58" s="2" t="n">
        <f aca="false">RANK(N58,$N$2:$N$230,0)</f>
        <v>57</v>
      </c>
      <c r="P58" s="2" t="n">
        <f aca="false">IF(O58&lt;=설명!$B$25,1,0)</f>
        <v>0</v>
      </c>
      <c r="Q58" s="2" t="str">
        <f aca="false">IF(AND(M58=1,P58=1),"① 최우선 지원",IF(P58=1,"② 예방 대상",IF(M58=1,"③ 구조적 공백","④ 관찰")))</f>
        <v>③ 구조적 공백</v>
      </c>
      <c r="R58" s="9" t="n">
        <v>0.3163</v>
      </c>
      <c r="S58" s="2" t="n">
        <f aca="false">RANK(R58,$R$2:$R$230,0)</f>
        <v>66</v>
      </c>
    </row>
    <row r="59" customFormat="false" ht="15" hidden="false" customHeight="false" outlineLevel="0" collapsed="false">
      <c r="A59" s="2" t="s">
        <v>162</v>
      </c>
      <c r="B59" s="3" t="s">
        <v>66</v>
      </c>
      <c r="C59" s="3" t="s">
        <v>163</v>
      </c>
      <c r="D59" s="2" t="n">
        <v>2025</v>
      </c>
      <c r="E59" s="2" t="n">
        <v>2028</v>
      </c>
      <c r="F59" s="2" t="n">
        <v>20440</v>
      </c>
      <c r="G59" s="2" t="n">
        <v>399</v>
      </c>
      <c r="H59" s="8" t="n">
        <v>19.5205479452055</v>
      </c>
      <c r="I59" s="2" t="n">
        <v>36</v>
      </c>
      <c r="J59" s="2" t="n">
        <v>96</v>
      </c>
      <c r="K59" s="2" t="n">
        <f aca="false">IF(H59&lt;=PERCENTILE($H$2:$H$230,설명!$B$26),1,0)</f>
        <v>0</v>
      </c>
      <c r="L59" s="2" t="n">
        <f aca="false">IF(I59=0,1,0)</f>
        <v>0</v>
      </c>
      <c r="M59" s="2" t="n">
        <f aca="false">L59</f>
        <v>0</v>
      </c>
      <c r="N59" s="9" t="n">
        <v>0.3039</v>
      </c>
      <c r="O59" s="2" t="n">
        <f aca="false">RANK(N59,$N$2:$N$230,0)</f>
        <v>58</v>
      </c>
      <c r="P59" s="2" t="n">
        <f aca="false">IF(O59&lt;=설명!$B$25,1,0)</f>
        <v>0</v>
      </c>
      <c r="Q59" s="2" t="str">
        <f aca="false">IF(AND(M59=1,P59=1),"① 최우선 지원",IF(P59=1,"② 예방 대상",IF(M59=1,"③ 구조적 공백","④ 관찰")))</f>
        <v>④ 관찰</v>
      </c>
      <c r="R59" s="9" t="n">
        <v>0.3445</v>
      </c>
      <c r="S59" s="2" t="n">
        <f aca="false">RANK(R59,$R$2:$R$230,0)</f>
        <v>55</v>
      </c>
    </row>
    <row r="60" customFormat="false" ht="15" hidden="false" customHeight="false" outlineLevel="0" collapsed="false">
      <c r="A60" s="2" t="s">
        <v>152</v>
      </c>
      <c r="B60" s="3" t="s">
        <v>153</v>
      </c>
      <c r="C60" s="3" t="s">
        <v>154</v>
      </c>
      <c r="D60" s="2" t="n">
        <v>2025</v>
      </c>
      <c r="E60" s="2" t="n">
        <v>2028</v>
      </c>
      <c r="F60" s="2" t="n">
        <v>17969</v>
      </c>
      <c r="G60" s="2" t="n">
        <v>343</v>
      </c>
      <c r="H60" s="8" t="n">
        <v>19.0884300740164</v>
      </c>
      <c r="I60" s="2" t="n">
        <v>30</v>
      </c>
      <c r="J60" s="2" t="n">
        <v>98</v>
      </c>
      <c r="K60" s="2" t="n">
        <f aca="false">IF(H60&lt;=PERCENTILE($H$2:$H$230,설명!$B$26),1,0)</f>
        <v>0</v>
      </c>
      <c r="L60" s="2" t="n">
        <f aca="false">IF(I60=0,1,0)</f>
        <v>0</v>
      </c>
      <c r="M60" s="2" t="n">
        <f aca="false">L60</f>
        <v>0</v>
      </c>
      <c r="N60" s="9" t="n">
        <v>0.3021</v>
      </c>
      <c r="O60" s="2" t="n">
        <f aca="false">RANK(N60,$N$2:$N$230,0)</f>
        <v>59</v>
      </c>
      <c r="P60" s="2" t="n">
        <f aca="false">IF(O60&lt;=설명!$B$25,1,0)</f>
        <v>0</v>
      </c>
      <c r="Q60" s="2" t="str">
        <f aca="false">IF(AND(M60=1,P60=1),"① 최우선 지원",IF(P60=1,"② 예방 대상",IF(M60=1,"③ 구조적 공백","④ 관찰")))</f>
        <v>④ 관찰</v>
      </c>
      <c r="R60" s="9" t="n">
        <v>0.3659</v>
      </c>
      <c r="S60" s="2" t="n">
        <f aca="false">RANK(R60,$R$2:$R$230,0)</f>
        <v>49</v>
      </c>
    </row>
    <row r="61" customFormat="false" ht="15" hidden="false" customHeight="false" outlineLevel="0" collapsed="false">
      <c r="A61" s="2" t="s">
        <v>173</v>
      </c>
      <c r="B61" s="3" t="s">
        <v>76</v>
      </c>
      <c r="C61" s="3" t="s">
        <v>174</v>
      </c>
      <c r="D61" s="2" t="n">
        <v>2025</v>
      </c>
      <c r="E61" s="2" t="n">
        <v>2028</v>
      </c>
      <c r="F61" s="2" t="n">
        <v>5954</v>
      </c>
      <c r="G61" s="2" t="n">
        <v>108</v>
      </c>
      <c r="H61" s="8" t="n">
        <v>18.1390661740007</v>
      </c>
      <c r="I61" s="2" t="n">
        <v>5</v>
      </c>
      <c r="J61" s="2" t="n">
        <v>18</v>
      </c>
      <c r="K61" s="2" t="n">
        <f aca="false">IF(H61&lt;=PERCENTILE($H$2:$H$230,설명!$B$26),1,0)</f>
        <v>0</v>
      </c>
      <c r="L61" s="2" t="n">
        <f aca="false">IF(I61=0,1,0)</f>
        <v>0</v>
      </c>
      <c r="M61" s="2" t="n">
        <f aca="false">L61</f>
        <v>0</v>
      </c>
      <c r="N61" s="9" t="n">
        <v>0.299</v>
      </c>
      <c r="O61" s="2" t="n">
        <f aca="false">RANK(N61,$N$2:$N$230,0)</f>
        <v>60</v>
      </c>
      <c r="P61" s="2" t="n">
        <f aca="false">IF(O61&lt;=설명!$B$25,1,0)</f>
        <v>0</v>
      </c>
      <c r="Q61" s="2" t="str">
        <f aca="false">IF(AND(M61=1,P61=1),"① 최우선 지원",IF(P61=1,"② 예방 대상",IF(M61=1,"③ 구조적 공백","④ 관찰")))</f>
        <v>④ 관찰</v>
      </c>
      <c r="R61" s="9" t="n">
        <v>0.3968</v>
      </c>
      <c r="S61" s="2" t="n">
        <f aca="false">RANK(R61,$R$2:$R$230,0)</f>
        <v>34</v>
      </c>
    </row>
    <row r="62" customFormat="false" ht="15" hidden="false" customHeight="false" outlineLevel="0" collapsed="false">
      <c r="A62" s="2" t="s">
        <v>231</v>
      </c>
      <c r="B62" s="3" t="s">
        <v>76</v>
      </c>
      <c r="C62" s="3" t="s">
        <v>232</v>
      </c>
      <c r="D62" s="2" t="n">
        <v>2025</v>
      </c>
      <c r="E62" s="2" t="n">
        <v>2028</v>
      </c>
      <c r="F62" s="2" t="n">
        <v>491</v>
      </c>
      <c r="G62" s="2" t="n">
        <v>8</v>
      </c>
      <c r="H62" s="8" t="n">
        <v>16.2932790224033</v>
      </c>
      <c r="I62" s="2" t="n">
        <v>0</v>
      </c>
      <c r="J62" s="2" t="n">
        <v>2</v>
      </c>
      <c r="K62" s="2" t="n">
        <f aca="false">IF(H62&lt;=PERCENTILE($H$2:$H$230,설명!$B$26),1,0)</f>
        <v>0</v>
      </c>
      <c r="L62" s="2" t="n">
        <f aca="false">IF(I62=0,1,0)</f>
        <v>1</v>
      </c>
      <c r="M62" s="2" t="n">
        <f aca="false">L62</f>
        <v>1</v>
      </c>
      <c r="N62" s="9" t="n">
        <v>0.2981</v>
      </c>
      <c r="O62" s="2" t="n">
        <f aca="false">RANK(N62,$N$2:$N$230,0)</f>
        <v>61</v>
      </c>
      <c r="P62" s="2" t="n">
        <f aca="false">IF(O62&lt;=설명!$B$25,1,0)</f>
        <v>0</v>
      </c>
      <c r="Q62" s="2" t="str">
        <f aca="false">IF(AND(M62=1,P62=1),"① 최우선 지원",IF(P62=1,"② 예방 대상",IF(M62=1,"③ 구조적 공백","④ 관찰")))</f>
        <v>③ 구조적 공백</v>
      </c>
      <c r="R62" s="9" t="n">
        <v>0.3744</v>
      </c>
      <c r="S62" s="2" t="n">
        <f aca="false">RANK(R62,$R$2:$R$230,0)</f>
        <v>43</v>
      </c>
    </row>
    <row r="63" customFormat="false" ht="15" hidden="false" customHeight="false" outlineLevel="0" collapsed="false">
      <c r="A63" s="2" t="s">
        <v>122</v>
      </c>
      <c r="B63" s="3" t="s">
        <v>63</v>
      </c>
      <c r="C63" s="3" t="s">
        <v>123</v>
      </c>
      <c r="D63" s="2" t="n">
        <v>2025</v>
      </c>
      <c r="E63" s="2" t="n">
        <v>2028</v>
      </c>
      <c r="F63" s="2" t="n">
        <v>1822</v>
      </c>
      <c r="G63" s="2" t="n">
        <v>38</v>
      </c>
      <c r="H63" s="8" t="n">
        <v>20.8562019758507</v>
      </c>
      <c r="I63" s="2" t="n">
        <v>4</v>
      </c>
      <c r="J63" s="2" t="n">
        <v>8</v>
      </c>
      <c r="K63" s="2" t="n">
        <f aca="false">IF(H63&lt;=PERCENTILE($H$2:$H$230,설명!$B$26),1,0)</f>
        <v>0</v>
      </c>
      <c r="L63" s="2" t="n">
        <f aca="false">IF(I63=0,1,0)</f>
        <v>0</v>
      </c>
      <c r="M63" s="2" t="n">
        <f aca="false">L63</f>
        <v>0</v>
      </c>
      <c r="N63" s="9" t="n">
        <v>0.2973</v>
      </c>
      <c r="O63" s="2" t="n">
        <f aca="false">RANK(N63,$N$2:$N$230,0)</f>
        <v>62</v>
      </c>
      <c r="P63" s="2" t="n">
        <f aca="false">IF(O63&lt;=설명!$B$25,1,0)</f>
        <v>0</v>
      </c>
      <c r="Q63" s="2" t="str">
        <f aca="false">IF(AND(M63=1,P63=1),"① 최우선 지원",IF(P63=1,"② 예방 대상",IF(M63=1,"③ 구조적 공백","④ 관찰")))</f>
        <v>④ 관찰</v>
      </c>
      <c r="R63" s="9" t="n">
        <v>0.4327</v>
      </c>
      <c r="S63" s="2" t="n">
        <f aca="false">RANK(R63,$R$2:$R$230,0)</f>
        <v>20</v>
      </c>
    </row>
    <row r="64" customFormat="false" ht="15" hidden="false" customHeight="false" outlineLevel="0" collapsed="false">
      <c r="A64" s="2" t="s">
        <v>318</v>
      </c>
      <c r="B64" s="3" t="s">
        <v>79</v>
      </c>
      <c r="C64" s="3" t="s">
        <v>319</v>
      </c>
      <c r="D64" s="2" t="n">
        <v>2025</v>
      </c>
      <c r="E64" s="2" t="n">
        <v>2028</v>
      </c>
      <c r="F64" s="2" t="n">
        <v>3852</v>
      </c>
      <c r="G64" s="2" t="n">
        <v>51</v>
      </c>
      <c r="H64" s="8" t="n">
        <v>13.2398753894081</v>
      </c>
      <c r="I64" s="2" t="n">
        <v>4</v>
      </c>
      <c r="J64" s="2" t="n">
        <v>22</v>
      </c>
      <c r="K64" s="2" t="n">
        <f aca="false">IF(H64&lt;=PERCENTILE($H$2:$H$230,설명!$B$26),1,0)</f>
        <v>1</v>
      </c>
      <c r="L64" s="2" t="n">
        <f aca="false">IF(I64=0,1,0)</f>
        <v>0</v>
      </c>
      <c r="M64" s="2" t="n">
        <f aca="false">L64</f>
        <v>0</v>
      </c>
      <c r="N64" s="9" t="n">
        <v>0.2971</v>
      </c>
      <c r="O64" s="2" t="n">
        <f aca="false">RANK(N64,$N$2:$N$230,0)</f>
        <v>63</v>
      </c>
      <c r="P64" s="2" t="n">
        <f aca="false">IF(O64&lt;=설명!$B$25,1,0)</f>
        <v>0</v>
      </c>
      <c r="Q64" s="2" t="str">
        <f aca="false">IF(AND(M64=1,P64=1),"① 최우선 지원",IF(P64=1,"② 예방 대상",IF(M64=1,"③ 구조적 공백","④ 관찰")))</f>
        <v>④ 관찰</v>
      </c>
      <c r="R64" s="9" t="n">
        <v>0.2351</v>
      </c>
      <c r="S64" s="2" t="n">
        <f aca="false">RANK(R64,$R$2:$R$230,0)</f>
        <v>108</v>
      </c>
    </row>
    <row r="65" customFormat="false" ht="15" hidden="false" customHeight="false" outlineLevel="0" collapsed="false">
      <c r="A65" s="2" t="s">
        <v>196</v>
      </c>
      <c r="B65" s="3" t="s">
        <v>153</v>
      </c>
      <c r="C65" s="3" t="s">
        <v>197</v>
      </c>
      <c r="D65" s="2" t="n">
        <v>2025</v>
      </c>
      <c r="E65" s="2" t="n">
        <v>2028</v>
      </c>
      <c r="F65" s="2" t="n">
        <v>813</v>
      </c>
      <c r="G65" s="2" t="n">
        <v>17</v>
      </c>
      <c r="H65" s="8" t="n">
        <v>20.910209102091</v>
      </c>
      <c r="I65" s="2" t="n">
        <v>1</v>
      </c>
      <c r="J65" s="2" t="n">
        <v>2</v>
      </c>
      <c r="K65" s="2" t="n">
        <f aca="false">IF(H65&lt;=PERCENTILE($H$2:$H$230,설명!$B$26),1,0)</f>
        <v>0</v>
      </c>
      <c r="L65" s="2" t="n">
        <f aca="false">IF(I65=0,1,0)</f>
        <v>0</v>
      </c>
      <c r="M65" s="2" t="n">
        <f aca="false">L65</f>
        <v>0</v>
      </c>
      <c r="N65" s="9" t="n">
        <v>0.2921</v>
      </c>
      <c r="O65" s="2" t="n">
        <f aca="false">RANK(N65,$N$2:$N$230,0)</f>
        <v>64</v>
      </c>
      <c r="P65" s="2" t="n">
        <f aca="false">IF(O65&lt;=설명!$B$25,1,0)</f>
        <v>0</v>
      </c>
      <c r="Q65" s="2" t="str">
        <f aca="false">IF(AND(M65=1,P65=1),"① 최우선 지원",IF(P65=1,"② 예방 대상",IF(M65=1,"③ 구조적 공백","④ 관찰")))</f>
        <v>④ 관찰</v>
      </c>
      <c r="R65" s="9" t="n">
        <v>0.3986</v>
      </c>
      <c r="S65" s="2" t="n">
        <f aca="false">RANK(R65,$R$2:$R$230,0)</f>
        <v>31</v>
      </c>
    </row>
    <row r="66" customFormat="false" ht="15" hidden="false" customHeight="false" outlineLevel="0" collapsed="false">
      <c r="A66" s="2" t="s">
        <v>187</v>
      </c>
      <c r="B66" s="3" t="s">
        <v>79</v>
      </c>
      <c r="C66" s="3" t="s">
        <v>188</v>
      </c>
      <c r="D66" s="2" t="n">
        <v>2025</v>
      </c>
      <c r="E66" s="2" t="n">
        <v>2028</v>
      </c>
      <c r="F66" s="2" t="n">
        <v>3790</v>
      </c>
      <c r="G66" s="2" t="n">
        <v>56</v>
      </c>
      <c r="H66" s="8" t="n">
        <v>14.7757255936675</v>
      </c>
      <c r="I66" s="2" t="n">
        <v>4</v>
      </c>
      <c r="J66" s="2" t="n">
        <v>15</v>
      </c>
      <c r="K66" s="2" t="n">
        <f aca="false">IF(H66&lt;=PERCENTILE($H$2:$H$230,설명!$B$26),1,0)</f>
        <v>1</v>
      </c>
      <c r="L66" s="2" t="n">
        <f aca="false">IF(I66=0,1,0)</f>
        <v>0</v>
      </c>
      <c r="M66" s="2" t="n">
        <f aca="false">L66</f>
        <v>0</v>
      </c>
      <c r="N66" s="9" t="n">
        <v>0.2878</v>
      </c>
      <c r="O66" s="2" t="n">
        <f aca="false">RANK(N66,$N$2:$N$230,0)</f>
        <v>65</v>
      </c>
      <c r="P66" s="2" t="n">
        <f aca="false">IF(O66&lt;=설명!$B$25,1,0)</f>
        <v>0</v>
      </c>
      <c r="Q66" s="2" t="str">
        <f aca="false">IF(AND(M66=1,P66=1),"① 최우선 지원",IF(P66=1,"② 예방 대상",IF(M66=1,"③ 구조적 공백","④ 관찰")))</f>
        <v>④ 관찰</v>
      </c>
      <c r="R66" s="9" t="n">
        <v>0.2358</v>
      </c>
      <c r="S66" s="2" t="n">
        <f aca="false">RANK(R66,$R$2:$R$230,0)</f>
        <v>107</v>
      </c>
    </row>
    <row r="67" customFormat="false" ht="15" hidden="false" customHeight="false" outlineLevel="0" collapsed="false">
      <c r="A67" s="2" t="s">
        <v>277</v>
      </c>
      <c r="B67" s="3" t="s">
        <v>79</v>
      </c>
      <c r="C67" s="3" t="s">
        <v>94</v>
      </c>
      <c r="D67" s="2" t="n">
        <v>2025</v>
      </c>
      <c r="E67" s="2" t="n">
        <v>2028</v>
      </c>
      <c r="F67" s="2" t="n">
        <v>2077</v>
      </c>
      <c r="G67" s="2" t="n">
        <v>29</v>
      </c>
      <c r="H67" s="8" t="n">
        <v>13.9624458353394</v>
      </c>
      <c r="I67" s="2" t="n">
        <v>3</v>
      </c>
      <c r="J67" s="2" t="n">
        <v>35</v>
      </c>
      <c r="K67" s="2" t="n">
        <f aca="false">IF(H67&lt;=PERCENTILE($H$2:$H$230,설명!$B$26),1,0)</f>
        <v>1</v>
      </c>
      <c r="L67" s="2" t="n">
        <f aca="false">IF(I67=0,1,0)</f>
        <v>0</v>
      </c>
      <c r="M67" s="2" t="n">
        <f aca="false">L67</f>
        <v>0</v>
      </c>
      <c r="N67" s="9" t="n">
        <v>0.2872</v>
      </c>
      <c r="O67" s="2" t="n">
        <f aca="false">RANK(N67,$N$2:$N$230,0)</f>
        <v>66</v>
      </c>
      <c r="P67" s="2" t="n">
        <f aca="false">IF(O67&lt;=설명!$B$25,1,0)</f>
        <v>0</v>
      </c>
      <c r="Q67" s="2" t="str">
        <f aca="false">IF(AND(M67=1,P67=1),"① 최우선 지원",IF(P67=1,"② 예방 대상",IF(M67=1,"③ 구조적 공백","④ 관찰")))</f>
        <v>④ 관찰</v>
      </c>
      <c r="R67" s="9" t="n">
        <v>0.247</v>
      </c>
      <c r="S67" s="2" t="n">
        <f aca="false">RANK(R67,$R$2:$R$230,0)</f>
        <v>101</v>
      </c>
    </row>
    <row r="68" customFormat="false" ht="15" hidden="false" customHeight="false" outlineLevel="0" collapsed="false">
      <c r="A68" s="2" t="s">
        <v>137</v>
      </c>
      <c r="B68" s="3" t="s">
        <v>63</v>
      </c>
      <c r="C68" s="3" t="s">
        <v>138</v>
      </c>
      <c r="D68" s="2" t="n">
        <v>2025</v>
      </c>
      <c r="E68" s="2" t="n">
        <v>2028</v>
      </c>
      <c r="F68" s="2" t="n">
        <v>14774</v>
      </c>
      <c r="G68" s="2" t="n">
        <v>277</v>
      </c>
      <c r="H68" s="8" t="n">
        <v>18.749153919047</v>
      </c>
      <c r="I68" s="2" t="n">
        <v>12</v>
      </c>
      <c r="J68" s="2" t="n">
        <v>35</v>
      </c>
      <c r="K68" s="2" t="n">
        <f aca="false">IF(H68&lt;=PERCENTILE($H$2:$H$230,설명!$B$26),1,0)</f>
        <v>0</v>
      </c>
      <c r="L68" s="2" t="n">
        <f aca="false">IF(I68=0,1,0)</f>
        <v>0</v>
      </c>
      <c r="M68" s="2" t="n">
        <f aca="false">L68</f>
        <v>0</v>
      </c>
      <c r="N68" s="9" t="n">
        <v>0.2841</v>
      </c>
      <c r="O68" s="2" t="n">
        <f aca="false">RANK(N68,$N$2:$N$230,0)</f>
        <v>67</v>
      </c>
      <c r="P68" s="2" t="n">
        <f aca="false">IF(O68&lt;=설명!$B$25,1,0)</f>
        <v>0</v>
      </c>
      <c r="Q68" s="2" t="str">
        <f aca="false">IF(AND(M68=1,P68=1),"① 최우선 지원",IF(P68=1,"② 예방 대상",IF(M68=1,"③ 구조적 공백","④ 관찰")))</f>
        <v>④ 관찰</v>
      </c>
      <c r="R68" s="9" t="n">
        <v>0.2953</v>
      </c>
      <c r="S68" s="2" t="n">
        <f aca="false">RANK(R68,$R$2:$R$230,0)</f>
        <v>79</v>
      </c>
    </row>
    <row r="69" customFormat="false" ht="15" hidden="false" customHeight="false" outlineLevel="0" collapsed="false">
      <c r="A69" s="2" t="s">
        <v>278</v>
      </c>
      <c r="B69" s="3" t="s">
        <v>199</v>
      </c>
      <c r="C69" s="3" t="s">
        <v>279</v>
      </c>
      <c r="D69" s="2" t="n">
        <v>2025</v>
      </c>
      <c r="E69" s="2" t="n">
        <v>2028</v>
      </c>
      <c r="F69" s="2" t="n">
        <v>1125</v>
      </c>
      <c r="G69" s="2" t="n">
        <v>22</v>
      </c>
      <c r="H69" s="8" t="n">
        <v>19.5555555555556</v>
      </c>
      <c r="I69" s="2" t="n">
        <v>1</v>
      </c>
      <c r="J69" s="2" t="n">
        <v>1</v>
      </c>
      <c r="K69" s="2" t="n">
        <f aca="false">IF(H69&lt;=PERCENTILE($H$2:$H$230,설명!$B$26),1,0)</f>
        <v>0</v>
      </c>
      <c r="L69" s="2" t="n">
        <f aca="false">IF(I69=0,1,0)</f>
        <v>0</v>
      </c>
      <c r="M69" s="2" t="n">
        <f aca="false">L69</f>
        <v>0</v>
      </c>
      <c r="N69" s="9" t="n">
        <v>0.2837</v>
      </c>
      <c r="O69" s="2" t="n">
        <f aca="false">RANK(N69,$N$2:$N$230,0)</f>
        <v>68</v>
      </c>
      <c r="P69" s="2" t="n">
        <f aca="false">IF(O69&lt;=설명!$B$25,1,0)</f>
        <v>0</v>
      </c>
      <c r="Q69" s="2" t="str">
        <f aca="false">IF(AND(M69=1,P69=1),"① 최우선 지원",IF(P69=1,"② 예방 대상",IF(M69=1,"③ 구조적 공백","④ 관찰")))</f>
        <v>④ 관찰</v>
      </c>
      <c r="R69" s="9" t="n">
        <v>0.3622</v>
      </c>
      <c r="S69" s="2" t="n">
        <f aca="false">RANK(R69,$R$2:$R$230,0)</f>
        <v>50</v>
      </c>
    </row>
    <row r="70" customFormat="false" ht="15" hidden="false" customHeight="false" outlineLevel="0" collapsed="false">
      <c r="A70" s="2" t="s">
        <v>156</v>
      </c>
      <c r="B70" s="3" t="s">
        <v>120</v>
      </c>
      <c r="C70" s="3" t="s">
        <v>157</v>
      </c>
      <c r="D70" s="2" t="n">
        <v>2025</v>
      </c>
      <c r="E70" s="2" t="n">
        <v>2028</v>
      </c>
      <c r="F70" s="2" t="n">
        <v>7808</v>
      </c>
      <c r="G70" s="2" t="n">
        <v>149</v>
      </c>
      <c r="H70" s="8" t="n">
        <v>19.0829918032787</v>
      </c>
      <c r="I70" s="2" t="n">
        <v>18</v>
      </c>
      <c r="J70" s="2" t="n">
        <v>33</v>
      </c>
      <c r="K70" s="2" t="n">
        <f aca="false">IF(H70&lt;=PERCENTILE($H$2:$H$230,설명!$B$26),1,0)</f>
        <v>0</v>
      </c>
      <c r="L70" s="2" t="n">
        <f aca="false">IF(I70=0,1,0)</f>
        <v>0</v>
      </c>
      <c r="M70" s="2" t="n">
        <f aca="false">L70</f>
        <v>0</v>
      </c>
      <c r="N70" s="9" t="n">
        <v>0.2826</v>
      </c>
      <c r="O70" s="2" t="n">
        <f aca="false">RANK(N70,$N$2:$N$230,0)</f>
        <v>69</v>
      </c>
      <c r="P70" s="2" t="n">
        <f aca="false">IF(O70&lt;=설명!$B$25,1,0)</f>
        <v>0</v>
      </c>
      <c r="Q70" s="2" t="str">
        <f aca="false">IF(AND(M70=1,P70=1),"① 최우선 지원",IF(P70=1,"② 예방 대상",IF(M70=1,"③ 구조적 공백","④ 관찰")))</f>
        <v>④ 관찰</v>
      </c>
      <c r="R70" s="9" t="n">
        <v>0.3151</v>
      </c>
      <c r="S70" s="2" t="n">
        <f aca="false">RANK(R70,$R$2:$R$230,0)</f>
        <v>68</v>
      </c>
    </row>
    <row r="71" customFormat="false" ht="15" hidden="false" customHeight="false" outlineLevel="0" collapsed="false">
      <c r="A71" s="2" t="s">
        <v>247</v>
      </c>
      <c r="B71" s="3" t="s">
        <v>66</v>
      </c>
      <c r="C71" s="3" t="s">
        <v>248</v>
      </c>
      <c r="D71" s="2" t="n">
        <v>2025</v>
      </c>
      <c r="E71" s="2" t="n">
        <v>2028</v>
      </c>
      <c r="F71" s="2" t="n">
        <v>15620</v>
      </c>
      <c r="G71" s="2" t="n">
        <v>317</v>
      </c>
      <c r="H71" s="8" t="n">
        <v>20.2944942381562</v>
      </c>
      <c r="I71" s="2" t="n">
        <v>26</v>
      </c>
      <c r="J71" s="2" t="n">
        <v>73</v>
      </c>
      <c r="K71" s="2" t="n">
        <f aca="false">IF(H71&lt;=PERCENTILE($H$2:$H$230,설명!$B$26),1,0)</f>
        <v>0</v>
      </c>
      <c r="L71" s="2" t="n">
        <f aca="false">IF(I71=0,1,0)</f>
        <v>0</v>
      </c>
      <c r="M71" s="2" t="n">
        <f aca="false">L71</f>
        <v>0</v>
      </c>
      <c r="N71" s="9" t="n">
        <v>0.2811</v>
      </c>
      <c r="O71" s="2" t="n">
        <f aca="false">RANK(N71,$N$2:$N$230,0)</f>
        <v>70</v>
      </c>
      <c r="P71" s="2" t="n">
        <f aca="false">IF(O71&lt;=설명!$B$25,1,0)</f>
        <v>0</v>
      </c>
      <c r="Q71" s="2" t="str">
        <f aca="false">IF(AND(M71=1,P71=1),"① 최우선 지원",IF(P71=1,"② 예방 대상",IF(M71=1,"③ 구조적 공백","④ 관찰")))</f>
        <v>④ 관찰</v>
      </c>
      <c r="R71" s="9" t="n">
        <v>0.3411</v>
      </c>
      <c r="S71" s="2" t="n">
        <f aca="false">RANK(R71,$R$2:$R$230,0)</f>
        <v>56</v>
      </c>
    </row>
    <row r="72" customFormat="false" ht="15" hidden="false" customHeight="false" outlineLevel="0" collapsed="false">
      <c r="A72" s="2" t="s">
        <v>233</v>
      </c>
      <c r="B72" s="3" t="s">
        <v>76</v>
      </c>
      <c r="C72" s="3" t="s">
        <v>234</v>
      </c>
      <c r="D72" s="2" t="n">
        <v>2025</v>
      </c>
      <c r="E72" s="2" t="n">
        <v>2028</v>
      </c>
      <c r="F72" s="2" t="n">
        <v>2380</v>
      </c>
      <c r="G72" s="2" t="n">
        <v>41</v>
      </c>
      <c r="H72" s="8" t="n">
        <v>17.2268907563025</v>
      </c>
      <c r="I72" s="2" t="n">
        <v>2</v>
      </c>
      <c r="J72" s="2" t="n">
        <v>6</v>
      </c>
      <c r="K72" s="2" t="n">
        <f aca="false">IF(H72&lt;=PERCENTILE($H$2:$H$230,설명!$B$26),1,0)</f>
        <v>0</v>
      </c>
      <c r="L72" s="2" t="n">
        <f aca="false">IF(I72=0,1,0)</f>
        <v>0</v>
      </c>
      <c r="M72" s="2" t="n">
        <f aca="false">L72</f>
        <v>0</v>
      </c>
      <c r="N72" s="9" t="n">
        <v>0.2807</v>
      </c>
      <c r="O72" s="2" t="n">
        <f aca="false">RANK(N72,$N$2:$N$230,0)</f>
        <v>71</v>
      </c>
      <c r="P72" s="2" t="n">
        <f aca="false">IF(O72&lt;=설명!$B$25,1,0)</f>
        <v>0</v>
      </c>
      <c r="Q72" s="2" t="str">
        <f aca="false">IF(AND(M72=1,P72=1),"① 최우선 지원",IF(P72=1,"② 예방 대상",IF(M72=1,"③ 구조적 공백","④ 관찰")))</f>
        <v>④ 관찰</v>
      </c>
      <c r="R72" s="9" t="n">
        <v>0.333</v>
      </c>
      <c r="S72" s="2" t="n">
        <f aca="false">RANK(R72,$R$2:$R$230,0)</f>
        <v>60</v>
      </c>
    </row>
    <row r="73" customFormat="false" ht="15" hidden="false" customHeight="false" outlineLevel="0" collapsed="false">
      <c r="A73" s="2" t="s">
        <v>283</v>
      </c>
      <c r="B73" s="3" t="s">
        <v>93</v>
      </c>
      <c r="C73" s="3" t="s">
        <v>136</v>
      </c>
      <c r="D73" s="2" t="n">
        <v>2025</v>
      </c>
      <c r="E73" s="2" t="n">
        <v>2028</v>
      </c>
      <c r="F73" s="2" t="n">
        <v>13185</v>
      </c>
      <c r="G73" s="2" t="n">
        <v>226</v>
      </c>
      <c r="H73" s="8" t="n">
        <v>17.1406901782328</v>
      </c>
      <c r="I73" s="2" t="n">
        <v>8</v>
      </c>
      <c r="J73" s="2" t="n">
        <v>56</v>
      </c>
      <c r="K73" s="2" t="n">
        <f aca="false">IF(H73&lt;=PERCENTILE($H$2:$H$230,설명!$B$26),1,0)</f>
        <v>0</v>
      </c>
      <c r="L73" s="2" t="n">
        <f aca="false">IF(I73=0,1,0)</f>
        <v>0</v>
      </c>
      <c r="M73" s="2" t="n">
        <f aca="false">L73</f>
        <v>0</v>
      </c>
      <c r="N73" s="9" t="n">
        <v>0.2794</v>
      </c>
      <c r="O73" s="2" t="n">
        <f aca="false">RANK(N73,$N$2:$N$230,0)</f>
        <v>72</v>
      </c>
      <c r="P73" s="2" t="n">
        <f aca="false">IF(O73&lt;=설명!$B$25,1,0)</f>
        <v>0</v>
      </c>
      <c r="Q73" s="2" t="str">
        <f aca="false">IF(AND(M73=1,P73=1),"① 최우선 지원",IF(P73=1,"② 예방 대상",IF(M73=1,"③ 구조적 공백","④ 관찰")))</f>
        <v>④ 관찰</v>
      </c>
      <c r="R73" s="9" t="n">
        <v>0.2846</v>
      </c>
      <c r="S73" s="2" t="n">
        <f aca="false">RANK(R73,$R$2:$R$230,0)</f>
        <v>84</v>
      </c>
    </row>
    <row r="74" customFormat="false" ht="15" hidden="false" customHeight="false" outlineLevel="0" collapsed="false">
      <c r="A74" s="2" t="s">
        <v>124</v>
      </c>
      <c r="B74" s="3" t="s">
        <v>63</v>
      </c>
      <c r="C74" s="3" t="s">
        <v>125</v>
      </c>
      <c r="D74" s="2" t="n">
        <v>2025</v>
      </c>
      <c r="E74" s="2" t="n">
        <v>2028</v>
      </c>
      <c r="F74" s="2" t="n">
        <v>445</v>
      </c>
      <c r="G74" s="2" t="n">
        <v>10</v>
      </c>
      <c r="H74" s="8" t="n">
        <v>22.4719101123596</v>
      </c>
      <c r="I74" s="2" t="n">
        <v>0</v>
      </c>
      <c r="J74" s="2" t="n">
        <v>3</v>
      </c>
      <c r="K74" s="2" t="n">
        <f aca="false">IF(H74&lt;=PERCENTILE($H$2:$H$230,설명!$B$26),1,0)</f>
        <v>0</v>
      </c>
      <c r="L74" s="2" t="n">
        <f aca="false">IF(I74=0,1,0)</f>
        <v>1</v>
      </c>
      <c r="M74" s="2" t="n">
        <f aca="false">L74</f>
        <v>1</v>
      </c>
      <c r="N74" s="9" t="n">
        <v>0.2793</v>
      </c>
      <c r="O74" s="2" t="n">
        <f aca="false">RANK(N74,$N$2:$N$230,0)</f>
        <v>73</v>
      </c>
      <c r="P74" s="2" t="n">
        <f aca="false">IF(O74&lt;=설명!$B$25,1,0)</f>
        <v>0</v>
      </c>
      <c r="Q74" s="2" t="str">
        <f aca="false">IF(AND(M74=1,P74=1),"① 최우선 지원",IF(P74=1,"② 예방 대상",IF(M74=1,"③ 구조적 공백","④ 관찰")))</f>
        <v>③ 구조적 공백</v>
      </c>
      <c r="R74" s="9" t="n">
        <v>0.3002</v>
      </c>
      <c r="S74" s="2" t="n">
        <f aca="false">RANK(R74,$R$2:$R$230,0)</f>
        <v>76</v>
      </c>
    </row>
    <row r="75" customFormat="false" ht="15" hidden="false" customHeight="false" outlineLevel="0" collapsed="false">
      <c r="A75" s="2" t="s">
        <v>165</v>
      </c>
      <c r="B75" s="3" t="s">
        <v>76</v>
      </c>
      <c r="C75" s="3" t="s">
        <v>166</v>
      </c>
      <c r="D75" s="2" t="n">
        <v>2025</v>
      </c>
      <c r="E75" s="2" t="n">
        <v>2028</v>
      </c>
      <c r="F75" s="2" t="n">
        <v>14166</v>
      </c>
      <c r="G75" s="2" t="n">
        <v>228</v>
      </c>
      <c r="H75" s="8" t="n">
        <v>16.0948750529437</v>
      </c>
      <c r="I75" s="2" t="n">
        <v>16</v>
      </c>
      <c r="J75" s="2" t="n">
        <v>45</v>
      </c>
      <c r="K75" s="2" t="n">
        <f aca="false">IF(H75&lt;=PERCENTILE($H$2:$H$230,설명!$B$26),1,0)</f>
        <v>0</v>
      </c>
      <c r="L75" s="2" t="n">
        <f aca="false">IF(I75=0,1,0)</f>
        <v>0</v>
      </c>
      <c r="M75" s="2" t="n">
        <f aca="false">L75</f>
        <v>0</v>
      </c>
      <c r="N75" s="9" t="n">
        <v>0.2772</v>
      </c>
      <c r="O75" s="2" t="n">
        <f aca="false">RANK(N75,$N$2:$N$230,0)</f>
        <v>74</v>
      </c>
      <c r="P75" s="2" t="n">
        <f aca="false">IF(O75&lt;=설명!$B$25,1,0)</f>
        <v>0</v>
      </c>
      <c r="Q75" s="2" t="str">
        <f aca="false">IF(AND(M75=1,P75=1),"① 최우선 지원",IF(P75=1,"② 예방 대상",IF(M75=1,"③ 구조적 공백","④ 관찰")))</f>
        <v>④ 관찰</v>
      </c>
      <c r="R75" s="9" t="n">
        <v>0.3094</v>
      </c>
      <c r="S75" s="2" t="n">
        <f aca="false">RANK(R75,$R$2:$R$230,0)</f>
        <v>72</v>
      </c>
    </row>
    <row r="76" customFormat="false" ht="15" hidden="false" customHeight="false" outlineLevel="0" collapsed="false">
      <c r="A76" s="2" t="s">
        <v>206</v>
      </c>
      <c r="B76" s="3" t="s">
        <v>76</v>
      </c>
      <c r="C76" s="3" t="s">
        <v>207</v>
      </c>
      <c r="D76" s="2" t="n">
        <v>2025</v>
      </c>
      <c r="E76" s="2" t="n">
        <v>2028</v>
      </c>
      <c r="F76" s="2" t="n">
        <v>472</v>
      </c>
      <c r="G76" s="2" t="n">
        <v>8</v>
      </c>
      <c r="H76" s="8" t="n">
        <v>16.9491525423729</v>
      </c>
      <c r="I76" s="2" t="n">
        <v>0</v>
      </c>
      <c r="J76" s="2" t="n">
        <v>1</v>
      </c>
      <c r="K76" s="2" t="n">
        <f aca="false">IF(H76&lt;=PERCENTILE($H$2:$H$230,설명!$B$26),1,0)</f>
        <v>0</v>
      </c>
      <c r="L76" s="2" t="n">
        <f aca="false">IF(I76=0,1,0)</f>
        <v>1</v>
      </c>
      <c r="M76" s="2" t="n">
        <f aca="false">L76</f>
        <v>1</v>
      </c>
      <c r="N76" s="9" t="n">
        <v>0.2768</v>
      </c>
      <c r="O76" s="2" t="n">
        <f aca="false">RANK(N76,$N$2:$N$230,0)</f>
        <v>75</v>
      </c>
      <c r="P76" s="2" t="n">
        <f aca="false">IF(O76&lt;=설명!$B$25,1,0)</f>
        <v>0</v>
      </c>
      <c r="Q76" s="2" t="str">
        <f aca="false">IF(AND(M76=1,P76=1),"① 최우선 지원",IF(P76=1,"② 예방 대상",IF(M76=1,"③ 구조적 공백","④ 관찰")))</f>
        <v>③ 구조적 공백</v>
      </c>
      <c r="R76" s="9" t="n">
        <v>0.3392</v>
      </c>
      <c r="S76" s="2" t="n">
        <f aca="false">RANK(R76,$R$2:$R$230,0)</f>
        <v>58</v>
      </c>
    </row>
    <row r="77" customFormat="false" ht="15" hidden="false" customHeight="false" outlineLevel="0" collapsed="false">
      <c r="A77" s="2" t="s">
        <v>216</v>
      </c>
      <c r="B77" s="3" t="s">
        <v>54</v>
      </c>
      <c r="C77" s="3" t="s">
        <v>217</v>
      </c>
      <c r="D77" s="2" t="n">
        <v>2025</v>
      </c>
      <c r="E77" s="2" t="n">
        <v>2028</v>
      </c>
      <c r="F77" s="2" t="n">
        <v>499</v>
      </c>
      <c r="G77" s="2" t="n">
        <v>8</v>
      </c>
      <c r="H77" s="8" t="n">
        <v>16.0320641282565</v>
      </c>
      <c r="I77" s="2" t="n">
        <v>1</v>
      </c>
      <c r="J77" s="2" t="n">
        <v>1</v>
      </c>
      <c r="K77" s="2" t="n">
        <f aca="false">IF(H77&lt;=PERCENTILE($H$2:$H$230,설명!$B$26),1,0)</f>
        <v>0</v>
      </c>
      <c r="L77" s="2" t="n">
        <f aca="false">IF(I77=0,1,0)</f>
        <v>0</v>
      </c>
      <c r="M77" s="2" t="n">
        <f aca="false">L77</f>
        <v>0</v>
      </c>
      <c r="N77" s="9" t="n">
        <v>0.276</v>
      </c>
      <c r="O77" s="2" t="n">
        <f aca="false">RANK(N77,$N$2:$N$230,0)</f>
        <v>76</v>
      </c>
      <c r="P77" s="2" t="n">
        <f aca="false">IF(O77&lt;=설명!$B$25,1,0)</f>
        <v>0</v>
      </c>
      <c r="Q77" s="2" t="str">
        <f aca="false">IF(AND(M77=1,P77=1),"① 최우선 지원",IF(P77=1,"② 예방 대상",IF(M77=1,"③ 구조적 공백","④ 관찰")))</f>
        <v>④ 관찰</v>
      </c>
      <c r="R77" s="9" t="n">
        <v>0.2701</v>
      </c>
      <c r="S77" s="2" t="n">
        <f aca="false">RANK(R77,$R$2:$R$230,0)</f>
        <v>93</v>
      </c>
    </row>
    <row r="78" customFormat="false" ht="15" hidden="false" customHeight="false" outlineLevel="0" collapsed="false">
      <c r="A78" s="2" t="s">
        <v>263</v>
      </c>
      <c r="B78" s="3" t="s">
        <v>66</v>
      </c>
      <c r="C78" s="3" t="s">
        <v>264</v>
      </c>
      <c r="D78" s="2" t="n">
        <v>2025</v>
      </c>
      <c r="E78" s="2" t="n">
        <v>2028</v>
      </c>
      <c r="F78" s="2" t="n">
        <v>19807</v>
      </c>
      <c r="G78" s="2" t="n">
        <v>390</v>
      </c>
      <c r="H78" s="8" t="n">
        <v>19.6900085828243</v>
      </c>
      <c r="I78" s="2" t="n">
        <v>34</v>
      </c>
      <c r="J78" s="2" t="n">
        <v>52</v>
      </c>
      <c r="K78" s="2" t="n">
        <f aca="false">IF(H78&lt;=PERCENTILE($H$2:$H$230,설명!$B$26),1,0)</f>
        <v>0</v>
      </c>
      <c r="L78" s="2" t="n">
        <f aca="false">IF(I78=0,1,0)</f>
        <v>0</v>
      </c>
      <c r="M78" s="2" t="n">
        <f aca="false">L78</f>
        <v>0</v>
      </c>
      <c r="N78" s="9" t="n">
        <v>0.2759</v>
      </c>
      <c r="O78" s="2" t="n">
        <f aca="false">RANK(N78,$N$2:$N$230,0)</f>
        <v>77</v>
      </c>
      <c r="P78" s="2" t="n">
        <f aca="false">IF(O78&lt;=설명!$B$25,1,0)</f>
        <v>0</v>
      </c>
      <c r="Q78" s="2" t="str">
        <f aca="false">IF(AND(M78=1,P78=1),"① 최우선 지원",IF(P78=1,"② 예방 대상",IF(M78=1,"③ 구조적 공백","④ 관찰")))</f>
        <v>④ 관찰</v>
      </c>
      <c r="R78" s="9" t="n">
        <v>0.3121</v>
      </c>
      <c r="S78" s="2" t="n">
        <f aca="false">RANK(R78,$R$2:$R$230,0)</f>
        <v>70</v>
      </c>
    </row>
    <row r="79" customFormat="false" ht="15" hidden="false" customHeight="false" outlineLevel="0" collapsed="false">
      <c r="A79" s="2" t="s">
        <v>201</v>
      </c>
      <c r="B79" s="3" t="s">
        <v>76</v>
      </c>
      <c r="C79" s="3" t="s">
        <v>202</v>
      </c>
      <c r="D79" s="2" t="n">
        <v>2025</v>
      </c>
      <c r="E79" s="2" t="n">
        <v>2028</v>
      </c>
      <c r="F79" s="2" t="n">
        <v>3701</v>
      </c>
      <c r="G79" s="2" t="n">
        <v>73</v>
      </c>
      <c r="H79" s="8" t="n">
        <v>19.7243988111321</v>
      </c>
      <c r="I79" s="2" t="n">
        <v>3</v>
      </c>
      <c r="J79" s="2" t="n">
        <v>14</v>
      </c>
      <c r="K79" s="2" t="n">
        <f aca="false">IF(H79&lt;=PERCENTILE($H$2:$H$230,설명!$B$26),1,0)</f>
        <v>0</v>
      </c>
      <c r="L79" s="2" t="n">
        <f aca="false">IF(I79=0,1,0)</f>
        <v>0</v>
      </c>
      <c r="M79" s="2" t="n">
        <f aca="false">L79</f>
        <v>0</v>
      </c>
      <c r="N79" s="9" t="n">
        <v>0.2734</v>
      </c>
      <c r="O79" s="2" t="n">
        <f aca="false">RANK(N79,$N$2:$N$230,0)</f>
        <v>78</v>
      </c>
      <c r="P79" s="2" t="n">
        <f aca="false">IF(O79&lt;=설명!$B$25,1,0)</f>
        <v>0</v>
      </c>
      <c r="Q79" s="2" t="str">
        <f aca="false">IF(AND(M79=1,P79=1),"① 최우선 지원",IF(P79=1,"② 예방 대상",IF(M79=1,"③ 구조적 공백","④ 관찰")))</f>
        <v>④ 관찰</v>
      </c>
      <c r="R79" s="9" t="n">
        <v>0.3391</v>
      </c>
      <c r="S79" s="2" t="n">
        <f aca="false">RANK(R79,$R$2:$R$230,0)</f>
        <v>59</v>
      </c>
    </row>
    <row r="80" customFormat="false" ht="15" hidden="false" customHeight="false" outlineLevel="0" collapsed="false">
      <c r="A80" s="2" t="s">
        <v>273</v>
      </c>
      <c r="B80" s="3" t="s">
        <v>135</v>
      </c>
      <c r="C80" s="3" t="s">
        <v>274</v>
      </c>
      <c r="D80" s="2" t="n">
        <v>2025</v>
      </c>
      <c r="E80" s="2" t="n">
        <v>2028</v>
      </c>
      <c r="F80" s="2" t="n">
        <v>10121</v>
      </c>
      <c r="G80" s="2" t="n">
        <v>159</v>
      </c>
      <c r="H80" s="8" t="n">
        <v>15.709910087936</v>
      </c>
      <c r="I80" s="2" t="n">
        <v>15</v>
      </c>
      <c r="J80" s="2" t="n">
        <v>22</v>
      </c>
      <c r="K80" s="2" t="n">
        <f aca="false">IF(H80&lt;=PERCENTILE($H$2:$H$230,설명!$B$26),1,0)</f>
        <v>0</v>
      </c>
      <c r="L80" s="2" t="n">
        <f aca="false">IF(I80=0,1,0)</f>
        <v>0</v>
      </c>
      <c r="M80" s="2" t="n">
        <f aca="false">L80</f>
        <v>0</v>
      </c>
      <c r="N80" s="9" t="n">
        <v>0.2726</v>
      </c>
      <c r="O80" s="2" t="n">
        <f aca="false">RANK(N80,$N$2:$N$230,0)</f>
        <v>79</v>
      </c>
      <c r="P80" s="2" t="n">
        <f aca="false">IF(O80&lt;=설명!$B$25,1,0)</f>
        <v>0</v>
      </c>
      <c r="Q80" s="2" t="str">
        <f aca="false">IF(AND(M80=1,P80=1),"① 최우선 지원",IF(P80=1,"② 예방 대상",IF(M80=1,"③ 구조적 공백","④ 관찰")))</f>
        <v>④ 관찰</v>
      </c>
      <c r="R80" s="9" t="n">
        <v>0.2729</v>
      </c>
      <c r="S80" s="2" t="n">
        <f aca="false">RANK(R80,$R$2:$R$230,0)</f>
        <v>92</v>
      </c>
    </row>
    <row r="81" customFormat="false" ht="15" hidden="false" customHeight="false" outlineLevel="0" collapsed="false">
      <c r="A81" s="2" t="s">
        <v>261</v>
      </c>
      <c r="B81" s="3" t="s">
        <v>66</v>
      </c>
      <c r="C81" s="3" t="s">
        <v>262</v>
      </c>
      <c r="D81" s="2" t="n">
        <v>2025</v>
      </c>
      <c r="E81" s="2" t="n">
        <v>2028</v>
      </c>
      <c r="F81" s="2" t="n">
        <v>14351</v>
      </c>
      <c r="G81" s="2" t="n">
        <v>278</v>
      </c>
      <c r="H81" s="8" t="n">
        <v>19.3714723712633</v>
      </c>
      <c r="I81" s="2" t="n">
        <v>18</v>
      </c>
      <c r="J81" s="2" t="n">
        <v>54</v>
      </c>
      <c r="K81" s="2" t="n">
        <f aca="false">IF(H81&lt;=PERCENTILE($H$2:$H$230,설명!$B$26),1,0)</f>
        <v>0</v>
      </c>
      <c r="L81" s="2" t="n">
        <f aca="false">IF(I81=0,1,0)</f>
        <v>0</v>
      </c>
      <c r="M81" s="2" t="n">
        <f aca="false">L81</f>
        <v>0</v>
      </c>
      <c r="N81" s="9" t="n">
        <v>0.2714</v>
      </c>
      <c r="O81" s="2" t="n">
        <f aca="false">RANK(N81,$N$2:$N$230,0)</f>
        <v>80</v>
      </c>
      <c r="P81" s="2" t="n">
        <f aca="false">IF(O81&lt;=설명!$B$25,1,0)</f>
        <v>0</v>
      </c>
      <c r="Q81" s="2" t="str">
        <f aca="false">IF(AND(M81=1,P81=1),"① 최우선 지원",IF(P81=1,"② 예방 대상",IF(M81=1,"③ 구조적 공백","④ 관찰")))</f>
        <v>④ 관찰</v>
      </c>
      <c r="R81" s="9" t="n">
        <v>0.2585</v>
      </c>
      <c r="S81" s="2" t="n">
        <f aca="false">RANK(R81,$R$2:$R$230,0)</f>
        <v>97</v>
      </c>
    </row>
    <row r="82" customFormat="false" ht="15" hidden="false" customHeight="false" outlineLevel="0" collapsed="false">
      <c r="A82" s="2" t="s">
        <v>322</v>
      </c>
      <c r="B82" s="3" t="s">
        <v>66</v>
      </c>
      <c r="C82" s="3" t="s">
        <v>323</v>
      </c>
      <c r="D82" s="2" t="n">
        <v>2025</v>
      </c>
      <c r="E82" s="2" t="n">
        <v>2028</v>
      </c>
      <c r="F82" s="2" t="n">
        <v>18418</v>
      </c>
      <c r="G82" s="2" t="n">
        <v>332</v>
      </c>
      <c r="H82" s="8" t="n">
        <v>18.0258442827669</v>
      </c>
      <c r="I82" s="2" t="n">
        <v>32</v>
      </c>
      <c r="J82" s="2" t="n">
        <v>74</v>
      </c>
      <c r="K82" s="2" t="n">
        <f aca="false">IF(H82&lt;=PERCENTILE($H$2:$H$230,설명!$B$26),1,0)</f>
        <v>0</v>
      </c>
      <c r="L82" s="2" t="n">
        <f aca="false">IF(I82=0,1,0)</f>
        <v>0</v>
      </c>
      <c r="M82" s="2" t="n">
        <f aca="false">L82</f>
        <v>0</v>
      </c>
      <c r="N82" s="9" t="n">
        <v>0.2693</v>
      </c>
      <c r="O82" s="2" t="n">
        <f aca="false">RANK(N82,$N$2:$N$230,0)</f>
        <v>81</v>
      </c>
      <c r="P82" s="2" t="n">
        <f aca="false">IF(O82&lt;=설명!$B$25,1,0)</f>
        <v>0</v>
      </c>
      <c r="Q82" s="2" t="str">
        <f aca="false">IF(AND(M82=1,P82=1),"① 최우선 지원",IF(P82=1,"② 예방 대상",IF(M82=1,"③ 구조적 공백","④ 관찰")))</f>
        <v>④ 관찰</v>
      </c>
      <c r="R82" s="9" t="n">
        <v>0.3252</v>
      </c>
      <c r="S82" s="2" t="n">
        <f aca="false">RANK(R82,$R$2:$R$230,0)</f>
        <v>63</v>
      </c>
    </row>
    <row r="83" customFormat="false" ht="15" hidden="false" customHeight="false" outlineLevel="0" collapsed="false">
      <c r="A83" s="2" t="s">
        <v>208</v>
      </c>
      <c r="B83" s="3" t="s">
        <v>71</v>
      </c>
      <c r="C83" s="3" t="s">
        <v>209</v>
      </c>
      <c r="D83" s="2" t="n">
        <v>2025</v>
      </c>
      <c r="E83" s="2" t="n">
        <v>2028</v>
      </c>
      <c r="F83" s="2" t="n">
        <v>1466</v>
      </c>
      <c r="G83" s="2" t="n">
        <v>11</v>
      </c>
      <c r="H83" s="8" t="n">
        <v>7.50341064120055</v>
      </c>
      <c r="I83" s="2" t="n">
        <v>1</v>
      </c>
      <c r="J83" s="2" t="n">
        <v>2</v>
      </c>
      <c r="K83" s="2" t="n">
        <f aca="false">IF(H83&lt;=PERCENTILE($H$2:$H$230,설명!$B$26),1,0)</f>
        <v>1</v>
      </c>
      <c r="L83" s="2" t="n">
        <f aca="false">IF(I83=0,1,0)</f>
        <v>0</v>
      </c>
      <c r="M83" s="2" t="n">
        <f aca="false">L83</f>
        <v>0</v>
      </c>
      <c r="N83" s="9" t="n">
        <v>0.2664</v>
      </c>
      <c r="O83" s="2" t="n">
        <f aca="false">RANK(N83,$N$2:$N$230,0)</f>
        <v>82</v>
      </c>
      <c r="P83" s="2" t="n">
        <f aca="false">IF(O83&lt;=설명!$B$25,1,0)</f>
        <v>0</v>
      </c>
      <c r="Q83" s="2" t="str">
        <f aca="false">IF(AND(M83=1,P83=1),"① 최우선 지원",IF(P83=1,"② 예방 대상",IF(M83=1,"③ 구조적 공백","④ 관찰")))</f>
        <v>④ 관찰</v>
      </c>
      <c r="R83" s="9" t="n">
        <v>0.3226</v>
      </c>
      <c r="S83" s="2" t="n">
        <f aca="false">RANK(R83,$R$2:$R$230,0)</f>
        <v>64</v>
      </c>
    </row>
    <row r="84" customFormat="false" ht="15" hidden="false" customHeight="false" outlineLevel="0" collapsed="false">
      <c r="A84" s="2" t="s">
        <v>171</v>
      </c>
      <c r="B84" s="3" t="s">
        <v>76</v>
      </c>
      <c r="C84" s="3" t="s">
        <v>172</v>
      </c>
      <c r="D84" s="2" t="n">
        <v>2025</v>
      </c>
      <c r="E84" s="2" t="n">
        <v>2028</v>
      </c>
      <c r="F84" s="2" t="n">
        <v>3770</v>
      </c>
      <c r="G84" s="2" t="n">
        <v>63</v>
      </c>
      <c r="H84" s="8" t="n">
        <v>16.710875331565</v>
      </c>
      <c r="I84" s="2" t="n">
        <v>4</v>
      </c>
      <c r="J84" s="2" t="n">
        <v>8</v>
      </c>
      <c r="K84" s="2" t="n">
        <f aca="false">IF(H84&lt;=PERCENTILE($H$2:$H$230,설명!$B$26),1,0)</f>
        <v>0</v>
      </c>
      <c r="L84" s="2" t="n">
        <f aca="false">IF(I84=0,1,0)</f>
        <v>0</v>
      </c>
      <c r="M84" s="2" t="n">
        <f aca="false">L84</f>
        <v>0</v>
      </c>
      <c r="N84" s="9" t="n">
        <v>0.2622</v>
      </c>
      <c r="O84" s="2" t="n">
        <f aca="false">RANK(N84,$N$2:$N$230,0)</f>
        <v>83</v>
      </c>
      <c r="P84" s="2" t="n">
        <f aca="false">IF(O84&lt;=설명!$B$25,1,0)</f>
        <v>0</v>
      </c>
      <c r="Q84" s="2" t="str">
        <f aca="false">IF(AND(M84=1,P84=1),"① 최우선 지원",IF(P84=1,"② 예방 대상",IF(M84=1,"③ 구조적 공백","④ 관찰")))</f>
        <v>④ 관찰</v>
      </c>
      <c r="R84" s="9" t="n">
        <v>0.2922</v>
      </c>
      <c r="S84" s="2" t="n">
        <f aca="false">RANK(R84,$R$2:$R$230,0)</f>
        <v>80</v>
      </c>
    </row>
    <row r="85" customFormat="false" ht="15" hidden="false" customHeight="false" outlineLevel="0" collapsed="false">
      <c r="A85" s="2" t="s">
        <v>212</v>
      </c>
      <c r="B85" s="3" t="s">
        <v>153</v>
      </c>
      <c r="C85" s="3" t="s">
        <v>213</v>
      </c>
      <c r="D85" s="2" t="n">
        <v>2025</v>
      </c>
      <c r="E85" s="2" t="n">
        <v>2028</v>
      </c>
      <c r="F85" s="2" t="n">
        <v>2104</v>
      </c>
      <c r="G85" s="2" t="n">
        <v>45</v>
      </c>
      <c r="H85" s="8" t="n">
        <v>21.3878326996198</v>
      </c>
      <c r="I85" s="2" t="n">
        <v>2</v>
      </c>
      <c r="J85" s="2" t="n">
        <v>10</v>
      </c>
      <c r="K85" s="2" t="n">
        <f aca="false">IF(H85&lt;=PERCENTILE($H$2:$H$230,설명!$B$26),1,0)</f>
        <v>0</v>
      </c>
      <c r="L85" s="2" t="n">
        <f aca="false">IF(I85=0,1,0)</f>
        <v>0</v>
      </c>
      <c r="M85" s="2" t="n">
        <f aca="false">L85</f>
        <v>0</v>
      </c>
      <c r="N85" s="9" t="n">
        <v>0.2617</v>
      </c>
      <c r="O85" s="2" t="n">
        <f aca="false">RANK(N85,$N$2:$N$230,0)</f>
        <v>84</v>
      </c>
      <c r="P85" s="2" t="n">
        <f aca="false">IF(O85&lt;=설명!$B$25,1,0)</f>
        <v>0</v>
      </c>
      <c r="Q85" s="2" t="str">
        <f aca="false">IF(AND(M85=1,P85=1),"① 최우선 지원",IF(P85=1,"② 예방 대상",IF(M85=1,"③ 구조적 공백","④ 관찰")))</f>
        <v>④ 관찰</v>
      </c>
      <c r="R85" s="9" t="n">
        <v>0.3705</v>
      </c>
      <c r="S85" s="2" t="n">
        <f aca="false">RANK(R85,$R$2:$R$230,0)</f>
        <v>45</v>
      </c>
    </row>
    <row r="86" customFormat="false" ht="15" hidden="false" customHeight="false" outlineLevel="0" collapsed="false">
      <c r="A86" s="2" t="s">
        <v>150</v>
      </c>
      <c r="B86" s="3" t="s">
        <v>76</v>
      </c>
      <c r="C86" s="3" t="s">
        <v>151</v>
      </c>
      <c r="D86" s="2" t="n">
        <v>2025</v>
      </c>
      <c r="E86" s="2" t="n">
        <v>2028</v>
      </c>
      <c r="F86" s="2" t="n">
        <v>2002</v>
      </c>
      <c r="G86" s="2" t="n">
        <v>35</v>
      </c>
      <c r="H86" s="8" t="n">
        <v>17.4825174825175</v>
      </c>
      <c r="I86" s="2" t="n">
        <v>1</v>
      </c>
      <c r="J86" s="2" t="n">
        <v>3</v>
      </c>
      <c r="K86" s="2" t="n">
        <f aca="false">IF(H86&lt;=PERCENTILE($H$2:$H$230,설명!$B$26),1,0)</f>
        <v>0</v>
      </c>
      <c r="L86" s="2" t="n">
        <f aca="false">IF(I86=0,1,0)</f>
        <v>0</v>
      </c>
      <c r="M86" s="2" t="n">
        <f aca="false">L86</f>
        <v>0</v>
      </c>
      <c r="N86" s="9" t="n">
        <v>0.2585</v>
      </c>
      <c r="O86" s="2" t="n">
        <f aca="false">RANK(N86,$N$2:$N$230,0)</f>
        <v>85</v>
      </c>
      <c r="P86" s="2" t="n">
        <f aca="false">IF(O86&lt;=설명!$B$25,1,0)</f>
        <v>0</v>
      </c>
      <c r="Q86" s="2" t="str">
        <f aca="false">IF(AND(M86=1,P86=1),"① 최우선 지원",IF(P86=1,"② 예방 대상",IF(M86=1,"③ 구조적 공백","④ 관찰")))</f>
        <v>④ 관찰</v>
      </c>
      <c r="R86" s="9" t="n">
        <v>0.3486</v>
      </c>
      <c r="S86" s="2" t="n">
        <f aca="false">RANK(R86,$R$2:$R$230,0)</f>
        <v>54</v>
      </c>
    </row>
    <row r="87" customFormat="false" ht="15" hidden="false" customHeight="false" outlineLevel="0" collapsed="false">
      <c r="A87" s="2" t="s">
        <v>275</v>
      </c>
      <c r="B87" s="3" t="s">
        <v>76</v>
      </c>
      <c r="C87" s="3" t="s">
        <v>276</v>
      </c>
      <c r="D87" s="2" t="n">
        <v>2025</v>
      </c>
      <c r="E87" s="2" t="n">
        <v>2028</v>
      </c>
      <c r="F87" s="2" t="n">
        <v>1867</v>
      </c>
      <c r="G87" s="2" t="n">
        <v>33</v>
      </c>
      <c r="H87" s="8" t="n">
        <v>17.6754151044456</v>
      </c>
      <c r="I87" s="2" t="n">
        <v>1</v>
      </c>
      <c r="J87" s="2" t="n">
        <v>2</v>
      </c>
      <c r="K87" s="2" t="n">
        <f aca="false">IF(H87&lt;=PERCENTILE($H$2:$H$230,설명!$B$26),1,0)</f>
        <v>0</v>
      </c>
      <c r="L87" s="2" t="n">
        <f aca="false">IF(I87=0,1,0)</f>
        <v>0</v>
      </c>
      <c r="M87" s="2" t="n">
        <f aca="false">L87</f>
        <v>0</v>
      </c>
      <c r="N87" s="9" t="n">
        <v>0.2561</v>
      </c>
      <c r="O87" s="2" t="n">
        <f aca="false">RANK(N87,$N$2:$N$230,0)</f>
        <v>86</v>
      </c>
      <c r="P87" s="2" t="n">
        <f aca="false">IF(O87&lt;=설명!$B$25,1,0)</f>
        <v>0</v>
      </c>
      <c r="Q87" s="2" t="str">
        <f aca="false">IF(AND(M87=1,P87=1),"① 최우선 지원",IF(P87=1,"② 예방 대상",IF(M87=1,"③ 구조적 공백","④ 관찰")))</f>
        <v>④ 관찰</v>
      </c>
      <c r="R87" s="9" t="n">
        <v>0.3118</v>
      </c>
      <c r="S87" s="2" t="n">
        <f aca="false">RANK(R87,$R$2:$R$230,0)</f>
        <v>71</v>
      </c>
    </row>
    <row r="88" customFormat="false" ht="15" hidden="false" customHeight="false" outlineLevel="0" collapsed="false">
      <c r="A88" s="2" t="s">
        <v>169</v>
      </c>
      <c r="B88" s="3" t="s">
        <v>66</v>
      </c>
      <c r="C88" s="3" t="s">
        <v>170</v>
      </c>
      <c r="D88" s="2" t="n">
        <v>2025</v>
      </c>
      <c r="E88" s="2" t="n">
        <v>2028</v>
      </c>
      <c r="F88" s="2" t="n">
        <v>1024</v>
      </c>
      <c r="G88" s="2" t="n">
        <v>19</v>
      </c>
      <c r="H88" s="8" t="n">
        <v>18.5546875</v>
      </c>
      <c r="I88" s="2" t="n">
        <v>0</v>
      </c>
      <c r="J88" s="2" t="n">
        <v>3</v>
      </c>
      <c r="K88" s="2" t="n">
        <f aca="false">IF(H88&lt;=PERCENTILE($H$2:$H$230,설명!$B$26),1,0)</f>
        <v>0</v>
      </c>
      <c r="L88" s="2" t="n">
        <f aca="false">IF(I88=0,1,0)</f>
        <v>1</v>
      </c>
      <c r="M88" s="2" t="n">
        <f aca="false">L88</f>
        <v>1</v>
      </c>
      <c r="N88" s="9" t="n">
        <v>0.2554</v>
      </c>
      <c r="O88" s="2" t="n">
        <f aca="false">RANK(N88,$N$2:$N$230,0)</f>
        <v>87</v>
      </c>
      <c r="P88" s="2" t="n">
        <f aca="false">IF(O88&lt;=설명!$B$25,1,0)</f>
        <v>0</v>
      </c>
      <c r="Q88" s="2" t="str">
        <f aca="false">IF(AND(M88=1,P88=1),"① 최우선 지원",IF(P88=1,"② 예방 대상",IF(M88=1,"③ 구조적 공백","④ 관찰")))</f>
        <v>③ 구조적 공백</v>
      </c>
      <c r="R88" s="9" t="n">
        <v>0.2207</v>
      </c>
      <c r="S88" s="2" t="n">
        <f aca="false">RANK(R88,$R$2:$R$230,0)</f>
        <v>114</v>
      </c>
    </row>
    <row r="89" customFormat="false" ht="15" hidden="false" customHeight="false" outlineLevel="0" collapsed="false">
      <c r="A89" s="2" t="s">
        <v>305</v>
      </c>
      <c r="B89" s="3" t="s">
        <v>113</v>
      </c>
      <c r="C89" s="3" t="s">
        <v>104</v>
      </c>
      <c r="D89" s="2" t="n">
        <v>2025</v>
      </c>
      <c r="E89" s="2" t="n">
        <v>2028</v>
      </c>
      <c r="F89" s="2" t="n">
        <v>5741</v>
      </c>
      <c r="G89" s="2" t="n">
        <v>89</v>
      </c>
      <c r="H89" s="8" t="n">
        <v>15.5025256923881</v>
      </c>
      <c r="I89" s="2" t="n">
        <v>6</v>
      </c>
      <c r="J89" s="2" t="n">
        <v>17</v>
      </c>
      <c r="K89" s="2" t="n">
        <f aca="false">IF(H89&lt;=PERCENTILE($H$2:$H$230,설명!$B$26),1,0)</f>
        <v>0</v>
      </c>
      <c r="L89" s="2" t="n">
        <f aca="false">IF(I89=0,1,0)</f>
        <v>0</v>
      </c>
      <c r="M89" s="2" t="n">
        <f aca="false">L89</f>
        <v>0</v>
      </c>
      <c r="N89" s="9" t="n">
        <v>0.2541</v>
      </c>
      <c r="O89" s="2" t="n">
        <f aca="false">RANK(N89,$N$2:$N$230,0)</f>
        <v>88</v>
      </c>
      <c r="P89" s="2" t="n">
        <f aca="false">IF(O89&lt;=설명!$B$25,1,0)</f>
        <v>0</v>
      </c>
      <c r="Q89" s="2" t="str">
        <f aca="false">IF(AND(M89=1,P89=1),"① 최우선 지원",IF(P89=1,"② 예방 대상",IF(M89=1,"③ 구조적 공백","④ 관찰")))</f>
        <v>④ 관찰</v>
      </c>
      <c r="R89" s="9" t="n">
        <v>0.2842</v>
      </c>
      <c r="S89" s="2" t="n">
        <f aca="false">RANK(R89,$R$2:$R$230,0)</f>
        <v>86</v>
      </c>
    </row>
    <row r="90" customFormat="false" ht="15" hidden="false" customHeight="false" outlineLevel="0" collapsed="false">
      <c r="A90" s="2" t="s">
        <v>235</v>
      </c>
      <c r="B90" s="3" t="s">
        <v>204</v>
      </c>
      <c r="C90" s="3" t="s">
        <v>236</v>
      </c>
      <c r="D90" s="2" t="n">
        <v>2025</v>
      </c>
      <c r="E90" s="2" t="n">
        <v>2028</v>
      </c>
      <c r="F90" s="2" t="n">
        <v>1498</v>
      </c>
      <c r="G90" s="2" t="n">
        <v>33</v>
      </c>
      <c r="H90" s="8" t="n">
        <v>22.0293724966622</v>
      </c>
      <c r="I90" s="2" t="n">
        <v>2</v>
      </c>
      <c r="J90" s="2" t="n">
        <v>3</v>
      </c>
      <c r="K90" s="2" t="n">
        <f aca="false">IF(H90&lt;=PERCENTILE($H$2:$H$230,설명!$B$26),1,0)</f>
        <v>0</v>
      </c>
      <c r="L90" s="2" t="n">
        <f aca="false">IF(I90=0,1,0)</f>
        <v>0</v>
      </c>
      <c r="M90" s="2" t="n">
        <f aca="false">L90</f>
        <v>0</v>
      </c>
      <c r="N90" s="9" t="n">
        <v>0.2541</v>
      </c>
      <c r="O90" s="2" t="n">
        <f aca="false">RANK(N90,$N$2:$N$230,0)</f>
        <v>88</v>
      </c>
      <c r="P90" s="2" t="n">
        <f aca="false">IF(O90&lt;=설명!$B$25,1,0)</f>
        <v>0</v>
      </c>
      <c r="Q90" s="2" t="str">
        <f aca="false">IF(AND(M90=1,P90=1),"① 최우선 지원",IF(P90=1,"② 예방 대상",IF(M90=1,"③ 구조적 공백","④ 관찰")))</f>
        <v>④ 관찰</v>
      </c>
      <c r="R90" s="9" t="n">
        <v>0.3158</v>
      </c>
      <c r="S90" s="2" t="n">
        <f aca="false">RANK(R90,$R$2:$R$230,0)</f>
        <v>67</v>
      </c>
    </row>
    <row r="91" customFormat="false" ht="15" hidden="false" customHeight="false" outlineLevel="0" collapsed="false">
      <c r="A91" s="2" t="s">
        <v>296</v>
      </c>
      <c r="B91" s="3" t="s">
        <v>204</v>
      </c>
      <c r="C91" s="3" t="s">
        <v>297</v>
      </c>
      <c r="D91" s="2" t="n">
        <v>2025</v>
      </c>
      <c r="E91" s="2" t="n">
        <v>2028</v>
      </c>
      <c r="F91" s="2" t="n">
        <v>697</v>
      </c>
      <c r="G91" s="2" t="n">
        <v>18</v>
      </c>
      <c r="H91" s="8" t="n">
        <v>25.8249641319943</v>
      </c>
      <c r="I91" s="2" t="n">
        <v>2</v>
      </c>
      <c r="J91" s="2" t="n">
        <v>2</v>
      </c>
      <c r="K91" s="2" t="n">
        <f aca="false">IF(H91&lt;=PERCENTILE($H$2:$H$230,설명!$B$26),1,0)</f>
        <v>0</v>
      </c>
      <c r="L91" s="2" t="n">
        <f aca="false">IF(I91=0,1,0)</f>
        <v>0</v>
      </c>
      <c r="M91" s="2" t="n">
        <f aca="false">L91</f>
        <v>0</v>
      </c>
      <c r="N91" s="9" t="n">
        <v>0.2471</v>
      </c>
      <c r="O91" s="2" t="n">
        <f aca="false">RANK(N91,$N$2:$N$230,0)</f>
        <v>90</v>
      </c>
      <c r="P91" s="2" t="n">
        <f aca="false">IF(O91&lt;=설명!$B$25,1,0)</f>
        <v>0</v>
      </c>
      <c r="Q91" s="2" t="str">
        <f aca="false">IF(AND(M91=1,P91=1),"① 최우선 지원",IF(P91=1,"② 예방 대상",IF(M91=1,"③ 구조적 공백","④ 관찰")))</f>
        <v>④ 관찰</v>
      </c>
      <c r="R91" s="9" t="n">
        <v>0.2819</v>
      </c>
      <c r="S91" s="2" t="n">
        <f aca="false">RANK(R91,$R$2:$R$230,0)</f>
        <v>88</v>
      </c>
    </row>
    <row r="92" customFormat="false" ht="15" hidden="false" customHeight="false" outlineLevel="0" collapsed="false">
      <c r="A92" s="2" t="s">
        <v>227</v>
      </c>
      <c r="B92" s="3" t="s">
        <v>120</v>
      </c>
      <c r="C92" s="3" t="s">
        <v>228</v>
      </c>
      <c r="D92" s="2" t="n">
        <v>2025</v>
      </c>
      <c r="E92" s="2" t="n">
        <v>2028</v>
      </c>
      <c r="F92" s="2" t="n">
        <v>11116</v>
      </c>
      <c r="G92" s="2" t="n">
        <v>219</v>
      </c>
      <c r="H92" s="8" t="n">
        <v>19.7013314141778</v>
      </c>
      <c r="I92" s="2" t="n">
        <v>16</v>
      </c>
      <c r="J92" s="2" t="n">
        <v>60</v>
      </c>
      <c r="K92" s="2" t="n">
        <f aca="false">IF(H92&lt;=PERCENTILE($H$2:$H$230,설명!$B$26),1,0)</f>
        <v>0</v>
      </c>
      <c r="L92" s="2" t="n">
        <f aca="false">IF(I92=0,1,0)</f>
        <v>0</v>
      </c>
      <c r="M92" s="2" t="n">
        <f aca="false">L92</f>
        <v>0</v>
      </c>
      <c r="N92" s="9" t="n">
        <v>0.2469</v>
      </c>
      <c r="O92" s="2" t="n">
        <f aca="false">RANK(N92,$N$2:$N$230,0)</f>
        <v>91</v>
      </c>
      <c r="P92" s="2" t="n">
        <f aca="false">IF(O92&lt;=설명!$B$25,1,0)</f>
        <v>0</v>
      </c>
      <c r="Q92" s="2" t="str">
        <f aca="false">IF(AND(M92=1,P92=1),"① 최우선 지원",IF(P92=1,"② 예방 대상",IF(M92=1,"③ 구조적 공백","④ 관찰")))</f>
        <v>④ 관찰</v>
      </c>
      <c r="R92" s="9" t="n">
        <v>0.2845</v>
      </c>
      <c r="S92" s="2" t="n">
        <f aca="false">RANK(R92,$R$2:$R$230,0)</f>
        <v>85</v>
      </c>
    </row>
    <row r="93" customFormat="false" ht="15" hidden="false" customHeight="false" outlineLevel="0" collapsed="false">
      <c r="A93" s="2" t="s">
        <v>320</v>
      </c>
      <c r="B93" s="3" t="s">
        <v>66</v>
      </c>
      <c r="C93" s="3" t="s">
        <v>321</v>
      </c>
      <c r="D93" s="2" t="n">
        <v>2025</v>
      </c>
      <c r="E93" s="2" t="n">
        <v>2028</v>
      </c>
      <c r="F93" s="2" t="n">
        <v>9415</v>
      </c>
      <c r="G93" s="2" t="n">
        <v>192</v>
      </c>
      <c r="H93" s="8" t="n">
        <v>20.3929899097185</v>
      </c>
      <c r="I93" s="2" t="n">
        <v>8</v>
      </c>
      <c r="J93" s="2" t="n">
        <v>30</v>
      </c>
      <c r="K93" s="2" t="n">
        <f aca="false">IF(H93&lt;=PERCENTILE($H$2:$H$230,설명!$B$26),1,0)</f>
        <v>0</v>
      </c>
      <c r="L93" s="2" t="n">
        <f aca="false">IF(I93=0,1,0)</f>
        <v>0</v>
      </c>
      <c r="M93" s="2" t="n">
        <f aca="false">L93</f>
        <v>0</v>
      </c>
      <c r="N93" s="9" t="n">
        <v>0.2447</v>
      </c>
      <c r="O93" s="2" t="n">
        <f aca="false">RANK(N93,$N$2:$N$230,0)</f>
        <v>92</v>
      </c>
      <c r="P93" s="2" t="n">
        <f aca="false">IF(O93&lt;=설명!$B$25,1,0)</f>
        <v>0</v>
      </c>
      <c r="Q93" s="2" t="str">
        <f aca="false">IF(AND(M93=1,P93=1),"① 최우선 지원",IF(P93=1,"② 예방 대상",IF(M93=1,"③ 구조적 공백","④ 관찰")))</f>
        <v>④ 관찰</v>
      </c>
      <c r="R93" s="9" t="n">
        <v>0.2396</v>
      </c>
      <c r="S93" s="2" t="n">
        <f aca="false">RANK(R93,$R$2:$R$230,0)</f>
        <v>105</v>
      </c>
    </row>
    <row r="94" customFormat="false" ht="15" hidden="false" customHeight="false" outlineLevel="0" collapsed="false">
      <c r="A94" s="2" t="s">
        <v>286</v>
      </c>
      <c r="B94" s="3" t="s">
        <v>93</v>
      </c>
      <c r="C94" s="3" t="s">
        <v>226</v>
      </c>
      <c r="D94" s="2" t="n">
        <v>2025</v>
      </c>
      <c r="E94" s="2" t="n">
        <v>2028</v>
      </c>
      <c r="F94" s="2" t="n">
        <v>5825</v>
      </c>
      <c r="G94" s="2" t="n">
        <v>97</v>
      </c>
      <c r="H94" s="8" t="n">
        <v>16.6523605150215</v>
      </c>
      <c r="I94" s="2" t="n">
        <v>8</v>
      </c>
      <c r="J94" s="2" t="n">
        <v>35</v>
      </c>
      <c r="K94" s="2" t="n">
        <f aca="false">IF(H94&lt;=PERCENTILE($H$2:$H$230,설명!$B$26),1,0)</f>
        <v>0</v>
      </c>
      <c r="L94" s="2" t="n">
        <f aca="false">IF(I94=0,1,0)</f>
        <v>0</v>
      </c>
      <c r="M94" s="2" t="n">
        <f aca="false">L94</f>
        <v>0</v>
      </c>
      <c r="N94" s="9" t="n">
        <v>0.2446</v>
      </c>
      <c r="O94" s="2" t="n">
        <f aca="false">RANK(N94,$N$2:$N$230,0)</f>
        <v>93</v>
      </c>
      <c r="P94" s="2" t="n">
        <f aca="false">IF(O94&lt;=설명!$B$25,1,0)</f>
        <v>0</v>
      </c>
      <c r="Q94" s="2" t="str">
        <f aca="false">IF(AND(M94=1,P94=1),"① 최우선 지원",IF(P94=1,"② 예방 대상",IF(M94=1,"③ 구조적 공백","④ 관찰")))</f>
        <v>④ 관찰</v>
      </c>
      <c r="R94" s="9" t="n">
        <v>0.2087</v>
      </c>
      <c r="S94" s="2" t="n">
        <f aca="false">RANK(R94,$R$2:$R$230,0)</f>
        <v>118</v>
      </c>
    </row>
    <row r="95" customFormat="false" ht="15" hidden="false" customHeight="false" outlineLevel="0" collapsed="false">
      <c r="A95" s="2" t="s">
        <v>280</v>
      </c>
      <c r="B95" s="3" t="s">
        <v>120</v>
      </c>
      <c r="C95" s="3" t="s">
        <v>183</v>
      </c>
      <c r="D95" s="2" t="n">
        <v>2025</v>
      </c>
      <c r="E95" s="2" t="n">
        <v>2028</v>
      </c>
      <c r="F95" s="2" t="n">
        <v>14543</v>
      </c>
      <c r="G95" s="2" t="n">
        <v>261</v>
      </c>
      <c r="H95" s="8" t="n">
        <v>17.9467785188751</v>
      </c>
      <c r="I95" s="2" t="n">
        <v>29</v>
      </c>
      <c r="J95" s="2" t="n">
        <v>80</v>
      </c>
      <c r="K95" s="2" t="n">
        <f aca="false">IF(H95&lt;=PERCENTILE($H$2:$H$230,설명!$B$26),1,0)</f>
        <v>0</v>
      </c>
      <c r="L95" s="2" t="n">
        <f aca="false">IF(I95=0,1,0)</f>
        <v>0</v>
      </c>
      <c r="M95" s="2" t="n">
        <f aca="false">L95</f>
        <v>0</v>
      </c>
      <c r="N95" s="9" t="n">
        <v>0.242</v>
      </c>
      <c r="O95" s="2" t="n">
        <f aca="false">RANK(N95,$N$2:$N$230,0)</f>
        <v>94</v>
      </c>
      <c r="P95" s="2" t="n">
        <f aca="false">IF(O95&lt;=설명!$B$25,1,0)</f>
        <v>0</v>
      </c>
      <c r="Q95" s="2" t="str">
        <f aca="false">IF(AND(M95=1,P95=1),"① 최우선 지원",IF(P95=1,"② 예방 대상",IF(M95=1,"③ 구조적 공백","④ 관찰")))</f>
        <v>④ 관찰</v>
      </c>
      <c r="R95" s="9" t="n">
        <v>0.2488</v>
      </c>
      <c r="S95" s="2" t="n">
        <f aca="false">RANK(R95,$R$2:$R$230,0)</f>
        <v>100</v>
      </c>
    </row>
    <row r="96" customFormat="false" ht="15" hidden="false" customHeight="false" outlineLevel="0" collapsed="false">
      <c r="A96" s="2" t="s">
        <v>255</v>
      </c>
      <c r="B96" s="3" t="s">
        <v>54</v>
      </c>
      <c r="C96" s="3" t="s">
        <v>256</v>
      </c>
      <c r="D96" s="2" t="n">
        <v>2025</v>
      </c>
      <c r="E96" s="2" t="n">
        <v>2028</v>
      </c>
      <c r="F96" s="2" t="n">
        <v>491</v>
      </c>
      <c r="G96" s="2" t="n">
        <v>9</v>
      </c>
      <c r="H96" s="8" t="n">
        <v>18.3299389002037</v>
      </c>
      <c r="I96" s="2" t="n">
        <v>0</v>
      </c>
      <c r="J96" s="2" t="n">
        <v>2</v>
      </c>
      <c r="K96" s="2" t="n">
        <f aca="false">IF(H96&lt;=PERCENTILE($H$2:$H$230,설명!$B$26),1,0)</f>
        <v>0</v>
      </c>
      <c r="L96" s="2" t="n">
        <f aca="false">IF(I96=0,1,0)</f>
        <v>1</v>
      </c>
      <c r="M96" s="2" t="n">
        <f aca="false">L96</f>
        <v>1</v>
      </c>
      <c r="N96" s="9" t="n">
        <v>0.2415</v>
      </c>
      <c r="O96" s="2" t="n">
        <f aca="false">RANK(N96,$N$2:$N$230,0)</f>
        <v>95</v>
      </c>
      <c r="P96" s="2" t="n">
        <f aca="false">IF(O96&lt;=설명!$B$25,1,0)</f>
        <v>0</v>
      </c>
      <c r="Q96" s="2" t="str">
        <f aca="false">IF(AND(M96=1,P96=1),"① 최우선 지원",IF(P96=1,"② 예방 대상",IF(M96=1,"③ 구조적 공백","④ 관찰")))</f>
        <v>③ 구조적 공백</v>
      </c>
      <c r="R96" s="9" t="n">
        <v>0.2561</v>
      </c>
      <c r="S96" s="2" t="n">
        <f aca="false">RANK(R96,$R$2:$R$230,0)</f>
        <v>98</v>
      </c>
    </row>
    <row r="97" customFormat="false" ht="15" hidden="false" customHeight="false" outlineLevel="0" collapsed="false">
      <c r="A97" s="2" t="s">
        <v>214</v>
      </c>
      <c r="B97" s="3" t="s">
        <v>120</v>
      </c>
      <c r="C97" s="3" t="s">
        <v>215</v>
      </c>
      <c r="D97" s="2" t="n">
        <v>2025</v>
      </c>
      <c r="E97" s="2" t="n">
        <v>2028</v>
      </c>
      <c r="F97" s="2" t="n">
        <v>10348</v>
      </c>
      <c r="G97" s="2" t="n">
        <v>179</v>
      </c>
      <c r="H97" s="8" t="n">
        <v>17.2980286045613</v>
      </c>
      <c r="I97" s="2" t="n">
        <v>23</v>
      </c>
      <c r="J97" s="2" t="n">
        <v>51</v>
      </c>
      <c r="K97" s="2" t="n">
        <f aca="false">IF(H97&lt;=PERCENTILE($H$2:$H$230,설명!$B$26),1,0)</f>
        <v>0</v>
      </c>
      <c r="L97" s="2" t="n">
        <f aca="false">IF(I97=0,1,0)</f>
        <v>0</v>
      </c>
      <c r="M97" s="2" t="n">
        <f aca="false">L97</f>
        <v>0</v>
      </c>
      <c r="N97" s="9" t="n">
        <v>0.2397</v>
      </c>
      <c r="O97" s="2" t="n">
        <f aca="false">RANK(N97,$N$2:$N$230,0)</f>
        <v>96</v>
      </c>
      <c r="P97" s="2" t="n">
        <f aca="false">IF(O97&lt;=설명!$B$25,1,0)</f>
        <v>0</v>
      </c>
      <c r="Q97" s="2" t="str">
        <f aca="false">IF(AND(M97=1,P97=1),"① 최우선 지원",IF(P97=1,"② 예방 대상",IF(M97=1,"③ 구조적 공백","④ 관찰")))</f>
        <v>④ 관찰</v>
      </c>
      <c r="R97" s="9" t="n">
        <v>0.2669</v>
      </c>
      <c r="S97" s="2" t="n">
        <f aca="false">RANK(R97,$R$2:$R$230,0)</f>
        <v>95</v>
      </c>
    </row>
    <row r="98" customFormat="false" ht="15" hidden="false" customHeight="false" outlineLevel="0" collapsed="false">
      <c r="A98" s="2" t="s">
        <v>287</v>
      </c>
      <c r="B98" s="3" t="s">
        <v>66</v>
      </c>
      <c r="C98" s="3" t="s">
        <v>288</v>
      </c>
      <c r="D98" s="2" t="n">
        <v>2025</v>
      </c>
      <c r="E98" s="2" t="n">
        <v>2028</v>
      </c>
      <c r="F98" s="2" t="n">
        <v>2828</v>
      </c>
      <c r="G98" s="2" t="n">
        <v>43</v>
      </c>
      <c r="H98" s="8" t="n">
        <v>15.2050919377652</v>
      </c>
      <c r="I98" s="2" t="n">
        <v>3</v>
      </c>
      <c r="J98" s="2" t="n">
        <v>3</v>
      </c>
      <c r="K98" s="2" t="n">
        <f aca="false">IF(H98&lt;=PERCENTILE($H$2:$H$230,설명!$B$26),1,0)</f>
        <v>1</v>
      </c>
      <c r="L98" s="2" t="n">
        <f aca="false">IF(I98=0,1,0)</f>
        <v>0</v>
      </c>
      <c r="M98" s="2" t="n">
        <f aca="false">L98</f>
        <v>0</v>
      </c>
      <c r="N98" s="9" t="n">
        <v>0.2394</v>
      </c>
      <c r="O98" s="2" t="n">
        <f aca="false">RANK(N98,$N$2:$N$230,0)</f>
        <v>97</v>
      </c>
      <c r="P98" s="2" t="n">
        <f aca="false">IF(O98&lt;=설명!$B$25,1,0)</f>
        <v>0</v>
      </c>
      <c r="Q98" s="2" t="str">
        <f aca="false">IF(AND(M98=1,P98=1),"① 최우선 지원",IF(P98=1,"② 예방 대상",IF(M98=1,"③ 구조적 공백","④ 관찰")))</f>
        <v>④ 관찰</v>
      </c>
      <c r="R98" s="9" t="n">
        <v>0.3019</v>
      </c>
      <c r="S98" s="2" t="n">
        <f aca="false">RANK(R98,$R$2:$R$230,0)</f>
        <v>75</v>
      </c>
    </row>
    <row r="99" customFormat="false" ht="15" hidden="false" customHeight="false" outlineLevel="0" collapsed="false">
      <c r="A99" s="2" t="s">
        <v>360</v>
      </c>
      <c r="B99" s="3" t="s">
        <v>90</v>
      </c>
      <c r="C99" s="3" t="s">
        <v>361</v>
      </c>
      <c r="D99" s="2" t="n">
        <v>2025</v>
      </c>
      <c r="E99" s="2" t="n">
        <v>2028</v>
      </c>
      <c r="F99" s="2" t="n">
        <v>7416</v>
      </c>
      <c r="G99" s="2" t="n">
        <v>109</v>
      </c>
      <c r="H99" s="8" t="n">
        <v>14.697950377562</v>
      </c>
      <c r="I99" s="2" t="n">
        <v>6</v>
      </c>
      <c r="J99" s="2" t="n">
        <v>19</v>
      </c>
      <c r="K99" s="2" t="n">
        <f aca="false">IF(H99&lt;=PERCENTILE($H$2:$H$230,설명!$B$26),1,0)</f>
        <v>1</v>
      </c>
      <c r="L99" s="2" t="n">
        <f aca="false">IF(I99=0,1,0)</f>
        <v>0</v>
      </c>
      <c r="M99" s="2" t="n">
        <f aca="false">L99</f>
        <v>0</v>
      </c>
      <c r="N99" s="9" t="n">
        <v>0.2379</v>
      </c>
      <c r="O99" s="2" t="n">
        <f aca="false">RANK(N99,$N$2:$N$230,0)</f>
        <v>98</v>
      </c>
      <c r="P99" s="2" t="n">
        <f aca="false">IF(O99&lt;=설명!$B$25,1,0)</f>
        <v>0</v>
      </c>
      <c r="Q99" s="2" t="str">
        <f aca="false">IF(AND(M99=1,P99=1),"① 최우선 지원",IF(P99=1,"② 예방 대상",IF(M99=1,"③ 구조적 공백","④ 관찰")))</f>
        <v>④ 관찰</v>
      </c>
      <c r="R99" s="9" t="n">
        <v>0.2023</v>
      </c>
      <c r="S99" s="2" t="n">
        <f aca="false">RANK(R99,$R$2:$R$230,0)</f>
        <v>125</v>
      </c>
    </row>
    <row r="100" customFormat="false" ht="15" hidden="false" customHeight="false" outlineLevel="0" collapsed="false">
      <c r="A100" s="2" t="s">
        <v>265</v>
      </c>
      <c r="B100" s="3" t="s">
        <v>199</v>
      </c>
      <c r="C100" s="3" t="s">
        <v>266</v>
      </c>
      <c r="D100" s="2" t="n">
        <v>2025</v>
      </c>
      <c r="E100" s="2" t="n">
        <v>2028</v>
      </c>
      <c r="F100" s="2" t="n">
        <v>2160</v>
      </c>
      <c r="G100" s="2" t="n">
        <v>46</v>
      </c>
      <c r="H100" s="8" t="n">
        <v>21.2962962962963</v>
      </c>
      <c r="I100" s="2" t="n">
        <v>2</v>
      </c>
      <c r="J100" s="2" t="n">
        <v>5</v>
      </c>
      <c r="K100" s="2" t="n">
        <f aca="false">IF(H100&lt;=PERCENTILE($H$2:$H$230,설명!$B$26),1,0)</f>
        <v>0</v>
      </c>
      <c r="L100" s="2" t="n">
        <f aca="false">IF(I100=0,1,0)</f>
        <v>0</v>
      </c>
      <c r="M100" s="2" t="n">
        <f aca="false">L100</f>
        <v>0</v>
      </c>
      <c r="N100" s="9" t="n">
        <v>0.2376</v>
      </c>
      <c r="O100" s="2" t="n">
        <f aca="false">RANK(N100,$N$2:$N$230,0)</f>
        <v>99</v>
      </c>
      <c r="P100" s="2" t="n">
        <f aca="false">IF(O100&lt;=설명!$B$25,1,0)</f>
        <v>0</v>
      </c>
      <c r="Q100" s="2" t="str">
        <f aca="false">IF(AND(M100=1,P100=1),"① 최우선 지원",IF(P100=1,"② 예방 대상",IF(M100=1,"③ 구조적 공백","④ 관찰")))</f>
        <v>④ 관찰</v>
      </c>
      <c r="R100" s="9" t="n">
        <v>0.3299</v>
      </c>
      <c r="S100" s="2" t="n">
        <f aca="false">RANK(R100,$R$2:$R$230,0)</f>
        <v>62</v>
      </c>
    </row>
    <row r="101" customFormat="false" ht="15" hidden="false" customHeight="false" outlineLevel="0" collapsed="false">
      <c r="A101" s="2" t="s">
        <v>198</v>
      </c>
      <c r="B101" s="3" t="s">
        <v>199</v>
      </c>
      <c r="C101" s="3" t="s">
        <v>200</v>
      </c>
      <c r="D101" s="2" t="n">
        <v>2025</v>
      </c>
      <c r="E101" s="2" t="n">
        <v>2028</v>
      </c>
      <c r="F101" s="2" t="n">
        <v>816</v>
      </c>
      <c r="G101" s="2" t="n">
        <v>14</v>
      </c>
      <c r="H101" s="8" t="n">
        <v>17.156862745098</v>
      </c>
      <c r="I101" s="2" t="n">
        <v>1</v>
      </c>
      <c r="J101" s="2" t="n">
        <v>1</v>
      </c>
      <c r="K101" s="2" t="n">
        <f aca="false">IF(H101&lt;=PERCENTILE($H$2:$H$230,설명!$B$26),1,0)</f>
        <v>0</v>
      </c>
      <c r="L101" s="2" t="n">
        <f aca="false">IF(I101=0,1,0)</f>
        <v>0</v>
      </c>
      <c r="M101" s="2" t="n">
        <f aca="false">L101</f>
        <v>0</v>
      </c>
      <c r="N101" s="9" t="n">
        <v>0.2371</v>
      </c>
      <c r="O101" s="2" t="n">
        <f aca="false">RANK(N101,$N$2:$N$230,0)</f>
        <v>100</v>
      </c>
      <c r="P101" s="2" t="n">
        <f aca="false">IF(O101&lt;=설명!$B$25,1,0)</f>
        <v>0</v>
      </c>
      <c r="Q101" s="2" t="str">
        <f aca="false">IF(AND(M101=1,P101=1),"① 최우선 지원",IF(P101=1,"② 예방 대상",IF(M101=1,"③ 구조적 공백","④ 관찰")))</f>
        <v>④ 관찰</v>
      </c>
      <c r="R101" s="9" t="n">
        <v>0.2986</v>
      </c>
      <c r="S101" s="2" t="n">
        <f aca="false">RANK(R101,$R$2:$R$230,0)</f>
        <v>77</v>
      </c>
    </row>
    <row r="102" customFormat="false" ht="15" hidden="false" customHeight="false" outlineLevel="0" collapsed="false">
      <c r="A102" s="2" t="s">
        <v>237</v>
      </c>
      <c r="B102" s="3" t="s">
        <v>90</v>
      </c>
      <c r="C102" s="3" t="s">
        <v>238</v>
      </c>
      <c r="D102" s="2" t="n">
        <v>2025</v>
      </c>
      <c r="E102" s="2" t="n">
        <v>2028</v>
      </c>
      <c r="F102" s="2" t="n">
        <v>9354</v>
      </c>
      <c r="G102" s="2" t="n">
        <v>165</v>
      </c>
      <c r="H102" s="8" t="n">
        <v>17.639512508018</v>
      </c>
      <c r="I102" s="2" t="n">
        <v>7</v>
      </c>
      <c r="J102" s="2" t="n">
        <v>31</v>
      </c>
      <c r="K102" s="2" t="n">
        <f aca="false">IF(H102&lt;=PERCENTILE($H$2:$H$230,설명!$B$26),1,0)</f>
        <v>0</v>
      </c>
      <c r="L102" s="2" t="n">
        <f aca="false">IF(I102=0,1,0)</f>
        <v>0</v>
      </c>
      <c r="M102" s="2" t="n">
        <f aca="false">L102</f>
        <v>0</v>
      </c>
      <c r="N102" s="9" t="n">
        <v>0.237</v>
      </c>
      <c r="O102" s="2" t="n">
        <f aca="false">RANK(N102,$N$2:$N$230,0)</f>
        <v>101</v>
      </c>
      <c r="P102" s="2" t="n">
        <f aca="false">IF(O102&lt;=설명!$B$25,1,0)</f>
        <v>0</v>
      </c>
      <c r="Q102" s="2" t="str">
        <f aca="false">IF(AND(M102=1,P102=1),"① 최우선 지원",IF(P102=1,"② 예방 대상",IF(M102=1,"③ 구조적 공백","④ 관찰")))</f>
        <v>④ 관찰</v>
      </c>
      <c r="R102" s="9" t="n">
        <v>0.2325</v>
      </c>
      <c r="S102" s="2" t="n">
        <f aca="false">RANK(R102,$R$2:$R$230,0)</f>
        <v>110</v>
      </c>
    </row>
    <row r="103" customFormat="false" ht="15" hidden="false" customHeight="false" outlineLevel="0" collapsed="false">
      <c r="A103" s="2" t="s">
        <v>284</v>
      </c>
      <c r="B103" s="3" t="s">
        <v>199</v>
      </c>
      <c r="C103" s="3" t="s">
        <v>285</v>
      </c>
      <c r="D103" s="2" t="n">
        <v>2025</v>
      </c>
      <c r="E103" s="2" t="n">
        <v>2028</v>
      </c>
      <c r="F103" s="2" t="n">
        <v>31101</v>
      </c>
      <c r="G103" s="2" t="n">
        <v>524</v>
      </c>
      <c r="H103" s="8" t="n">
        <v>16.8483328510337</v>
      </c>
      <c r="I103" s="2" t="n">
        <v>35</v>
      </c>
      <c r="J103" s="2" t="n">
        <v>107</v>
      </c>
      <c r="K103" s="2" t="n">
        <f aca="false">IF(H103&lt;=PERCENTILE($H$2:$H$230,설명!$B$26),1,0)</f>
        <v>0</v>
      </c>
      <c r="L103" s="2" t="n">
        <f aca="false">IF(I103=0,1,0)</f>
        <v>0</v>
      </c>
      <c r="M103" s="2" t="n">
        <f aca="false">L103</f>
        <v>0</v>
      </c>
      <c r="N103" s="9" t="n">
        <v>0.2359</v>
      </c>
      <c r="O103" s="2" t="n">
        <f aca="false">RANK(N103,$N$2:$N$230,0)</f>
        <v>102</v>
      </c>
      <c r="P103" s="2" t="n">
        <f aca="false">IF(O103&lt;=설명!$B$25,1,0)</f>
        <v>0</v>
      </c>
      <c r="Q103" s="2" t="str">
        <f aca="false">IF(AND(M103=1,P103=1),"① 최우선 지원",IF(P103=1,"② 예방 대상",IF(M103=1,"③ 구조적 공백","④ 관찰")))</f>
        <v>④ 관찰</v>
      </c>
      <c r="R103" s="9" t="n">
        <v>0.2075</v>
      </c>
      <c r="S103" s="2" t="n">
        <f aca="false">RANK(R103,$R$2:$R$230,0)</f>
        <v>120</v>
      </c>
    </row>
    <row r="104" customFormat="false" ht="15" hidden="false" customHeight="false" outlineLevel="0" collapsed="false">
      <c r="A104" s="2" t="s">
        <v>189</v>
      </c>
      <c r="B104" s="3" t="s">
        <v>63</v>
      </c>
      <c r="C104" s="3" t="s">
        <v>190</v>
      </c>
      <c r="D104" s="2" t="n">
        <v>2025</v>
      </c>
      <c r="E104" s="2" t="n">
        <v>2028</v>
      </c>
      <c r="F104" s="2" t="n">
        <v>2246</v>
      </c>
      <c r="G104" s="2" t="n">
        <v>56</v>
      </c>
      <c r="H104" s="8" t="n">
        <v>24.93321460374</v>
      </c>
      <c r="I104" s="2" t="n">
        <v>3</v>
      </c>
      <c r="J104" s="2" t="n">
        <v>5</v>
      </c>
      <c r="K104" s="2" t="n">
        <f aca="false">IF(H104&lt;=PERCENTILE($H$2:$H$230,설명!$B$26),1,0)</f>
        <v>0</v>
      </c>
      <c r="L104" s="2" t="n">
        <f aca="false">IF(I104=0,1,0)</f>
        <v>0</v>
      </c>
      <c r="M104" s="2" t="n">
        <f aca="false">L104</f>
        <v>0</v>
      </c>
      <c r="N104" s="9" t="n">
        <v>0.2351</v>
      </c>
      <c r="O104" s="2" t="n">
        <f aca="false">RANK(N104,$N$2:$N$230,0)</f>
        <v>103</v>
      </c>
      <c r="P104" s="2" t="n">
        <f aca="false">IF(O104&lt;=설명!$B$25,1,0)</f>
        <v>0</v>
      </c>
      <c r="Q104" s="2" t="str">
        <f aca="false">IF(AND(M104=1,P104=1),"① 최우선 지원",IF(P104=1,"② 예방 대상",IF(M104=1,"③ 구조적 공백","④ 관찰")))</f>
        <v>④ 관찰</v>
      </c>
      <c r="R104" s="9" t="n">
        <v>0.2828</v>
      </c>
      <c r="S104" s="2" t="n">
        <f aca="false">RANK(R104,$R$2:$R$230,0)</f>
        <v>87</v>
      </c>
    </row>
    <row r="105" customFormat="false" ht="15" hidden="false" customHeight="false" outlineLevel="0" collapsed="false">
      <c r="A105" s="2" t="s">
        <v>349</v>
      </c>
      <c r="B105" s="3" t="s">
        <v>120</v>
      </c>
      <c r="C105" s="3" t="s">
        <v>350</v>
      </c>
      <c r="D105" s="2" t="n">
        <v>2025</v>
      </c>
      <c r="E105" s="2" t="n">
        <v>2028</v>
      </c>
      <c r="F105" s="2" t="n">
        <v>5639</v>
      </c>
      <c r="G105" s="2" t="n">
        <v>84</v>
      </c>
      <c r="H105" s="8" t="n">
        <v>14.8962582018088</v>
      </c>
      <c r="I105" s="2" t="n">
        <v>9</v>
      </c>
      <c r="J105" s="2" t="n">
        <v>32</v>
      </c>
      <c r="K105" s="2" t="n">
        <f aca="false">IF(H105&lt;=PERCENTILE($H$2:$H$230,설명!$B$26),1,0)</f>
        <v>1</v>
      </c>
      <c r="L105" s="2" t="n">
        <f aca="false">IF(I105=0,1,0)</f>
        <v>0</v>
      </c>
      <c r="M105" s="2" t="n">
        <f aca="false">L105</f>
        <v>0</v>
      </c>
      <c r="N105" s="9" t="n">
        <v>0.2347</v>
      </c>
      <c r="O105" s="2" t="n">
        <f aca="false">RANK(N105,$N$2:$N$230,0)</f>
        <v>104</v>
      </c>
      <c r="P105" s="2" t="n">
        <f aca="false">IF(O105&lt;=설명!$B$25,1,0)</f>
        <v>0</v>
      </c>
      <c r="Q105" s="2" t="str">
        <f aca="false">IF(AND(M105=1,P105=1),"① 최우선 지원",IF(P105=1,"② 예방 대상",IF(M105=1,"③ 구조적 공백","④ 관찰")))</f>
        <v>④ 관찰</v>
      </c>
      <c r="R105" s="9" t="n">
        <v>0.237</v>
      </c>
      <c r="S105" s="2" t="n">
        <f aca="false">RANK(R105,$R$2:$R$230,0)</f>
        <v>106</v>
      </c>
    </row>
    <row r="106" customFormat="false" ht="15" hidden="false" customHeight="false" outlineLevel="0" collapsed="false">
      <c r="A106" s="2" t="s">
        <v>243</v>
      </c>
      <c r="B106" s="3" t="s">
        <v>153</v>
      </c>
      <c r="C106" s="3" t="s">
        <v>244</v>
      </c>
      <c r="D106" s="2" t="n">
        <v>2025</v>
      </c>
      <c r="E106" s="2" t="n">
        <v>2028</v>
      </c>
      <c r="F106" s="2" t="n">
        <v>2033</v>
      </c>
      <c r="G106" s="2" t="n">
        <v>31</v>
      </c>
      <c r="H106" s="8" t="n">
        <v>15.248401377275</v>
      </c>
      <c r="I106" s="2" t="n">
        <v>3</v>
      </c>
      <c r="J106" s="2" t="n">
        <v>5</v>
      </c>
      <c r="K106" s="2" t="n">
        <f aca="false">IF(H106&lt;=PERCENTILE($H$2:$H$230,설명!$B$26),1,0)</f>
        <v>1</v>
      </c>
      <c r="L106" s="2" t="n">
        <f aca="false">IF(I106=0,1,0)</f>
        <v>0</v>
      </c>
      <c r="M106" s="2" t="n">
        <f aca="false">L106</f>
        <v>0</v>
      </c>
      <c r="N106" s="9" t="n">
        <v>0.2337</v>
      </c>
      <c r="O106" s="2" t="n">
        <f aca="false">RANK(N106,$N$2:$N$230,0)</f>
        <v>105</v>
      </c>
      <c r="P106" s="2" t="n">
        <f aca="false">IF(O106&lt;=설명!$B$25,1,0)</f>
        <v>0</v>
      </c>
      <c r="Q106" s="2" t="str">
        <f aca="false">IF(AND(M106=1,P106=1),"① 최우선 지원",IF(P106=1,"② 예방 대상",IF(M106=1,"③ 구조적 공백","④ 관찰")))</f>
        <v>④ 관찰</v>
      </c>
      <c r="R106" s="9" t="n">
        <v>0.3024</v>
      </c>
      <c r="S106" s="2" t="n">
        <f aca="false">RANK(R106,$R$2:$R$230,0)</f>
        <v>74</v>
      </c>
    </row>
    <row r="107" customFormat="false" ht="15" hidden="false" customHeight="false" outlineLevel="0" collapsed="false">
      <c r="A107" s="2" t="s">
        <v>210</v>
      </c>
      <c r="B107" s="3" t="s">
        <v>63</v>
      </c>
      <c r="C107" s="3" t="s">
        <v>211</v>
      </c>
      <c r="D107" s="2" t="n">
        <v>2025</v>
      </c>
      <c r="E107" s="2" t="n">
        <v>2028</v>
      </c>
      <c r="F107" s="2" t="n">
        <v>2977</v>
      </c>
      <c r="G107" s="2" t="n">
        <v>49</v>
      </c>
      <c r="H107" s="8" t="n">
        <v>16.4595230097414</v>
      </c>
      <c r="I107" s="2" t="n">
        <v>4</v>
      </c>
      <c r="J107" s="2" t="n">
        <v>9</v>
      </c>
      <c r="K107" s="2" t="n">
        <f aca="false">IF(H107&lt;=PERCENTILE($H$2:$H$230,설명!$B$26),1,0)</f>
        <v>0</v>
      </c>
      <c r="L107" s="2" t="n">
        <f aca="false">IF(I107=0,1,0)</f>
        <v>0</v>
      </c>
      <c r="M107" s="2" t="n">
        <f aca="false">L107</f>
        <v>0</v>
      </c>
      <c r="N107" s="9" t="n">
        <v>0.2335</v>
      </c>
      <c r="O107" s="2" t="n">
        <f aca="false">RANK(N107,$N$2:$N$230,0)</f>
        <v>106</v>
      </c>
      <c r="P107" s="2" t="n">
        <f aca="false">IF(O107&lt;=설명!$B$25,1,0)</f>
        <v>0</v>
      </c>
      <c r="Q107" s="2" t="str">
        <f aca="false">IF(AND(M107=1,P107=1),"① 최우선 지원",IF(P107=1,"② 예방 대상",IF(M107=1,"③ 구조적 공백","④ 관찰")))</f>
        <v>④ 관찰</v>
      </c>
      <c r="R107" s="9" t="n">
        <v>0.241</v>
      </c>
      <c r="S107" s="2" t="n">
        <f aca="false">RANK(R107,$R$2:$R$230,0)</f>
        <v>103</v>
      </c>
    </row>
    <row r="108" customFormat="false" ht="15" hidden="false" customHeight="false" outlineLevel="0" collapsed="false">
      <c r="A108" s="2" t="s">
        <v>218</v>
      </c>
      <c r="B108" s="3" t="s">
        <v>135</v>
      </c>
      <c r="C108" s="3" t="s">
        <v>94</v>
      </c>
      <c r="D108" s="2" t="n">
        <v>2025</v>
      </c>
      <c r="E108" s="2" t="n">
        <v>2028</v>
      </c>
      <c r="F108" s="2" t="n">
        <v>3742</v>
      </c>
      <c r="G108" s="2" t="n">
        <v>62</v>
      </c>
      <c r="H108" s="8" t="n">
        <v>16.5686798503474</v>
      </c>
      <c r="I108" s="2" t="n">
        <v>3</v>
      </c>
      <c r="J108" s="2" t="n">
        <v>14</v>
      </c>
      <c r="K108" s="2" t="n">
        <f aca="false">IF(H108&lt;=PERCENTILE($H$2:$H$230,설명!$B$26),1,0)</f>
        <v>0</v>
      </c>
      <c r="L108" s="2" t="n">
        <f aca="false">IF(I108=0,1,0)</f>
        <v>0</v>
      </c>
      <c r="M108" s="2" t="n">
        <f aca="false">L108</f>
        <v>0</v>
      </c>
      <c r="N108" s="9" t="n">
        <v>0.2276</v>
      </c>
      <c r="O108" s="2" t="n">
        <f aca="false">RANK(N108,$N$2:$N$230,0)</f>
        <v>107</v>
      </c>
      <c r="P108" s="2" t="n">
        <f aca="false">IF(O108&lt;=설명!$B$25,1,0)</f>
        <v>0</v>
      </c>
      <c r="Q108" s="2" t="str">
        <f aca="false">IF(AND(M108=1,P108=1),"① 최우선 지원",IF(P108=1,"② 예방 대상",IF(M108=1,"③ 구조적 공백","④ 관찰")))</f>
        <v>④ 관찰</v>
      </c>
      <c r="R108" s="9" t="n">
        <v>0.2402</v>
      </c>
      <c r="S108" s="2" t="n">
        <f aca="false">RANK(R108,$R$2:$R$230,0)</f>
        <v>104</v>
      </c>
    </row>
    <row r="109" customFormat="false" ht="15" hidden="false" customHeight="false" outlineLevel="0" collapsed="false">
      <c r="A109" s="2" t="s">
        <v>229</v>
      </c>
      <c r="B109" s="3" t="s">
        <v>153</v>
      </c>
      <c r="C109" s="3" t="s">
        <v>230</v>
      </c>
      <c r="D109" s="2" t="n">
        <v>2025</v>
      </c>
      <c r="E109" s="2" t="n">
        <v>2028</v>
      </c>
      <c r="F109" s="2" t="n">
        <v>6859</v>
      </c>
      <c r="G109" s="2" t="n">
        <v>129</v>
      </c>
      <c r="H109" s="8" t="n">
        <v>18.807406327453</v>
      </c>
      <c r="I109" s="2" t="n">
        <v>12</v>
      </c>
      <c r="J109" s="2" t="n">
        <v>20</v>
      </c>
      <c r="K109" s="2" t="n">
        <f aca="false">IF(H109&lt;=PERCENTILE($H$2:$H$230,설명!$B$26),1,0)</f>
        <v>0</v>
      </c>
      <c r="L109" s="2" t="n">
        <f aca="false">IF(I109=0,1,0)</f>
        <v>0</v>
      </c>
      <c r="M109" s="2" t="n">
        <f aca="false">L109</f>
        <v>0</v>
      </c>
      <c r="N109" s="9" t="n">
        <v>0.2249</v>
      </c>
      <c r="O109" s="2" t="n">
        <f aca="false">RANK(N109,$N$2:$N$230,0)</f>
        <v>108</v>
      </c>
      <c r="P109" s="2" t="n">
        <f aca="false">IF(O109&lt;=설명!$B$25,1,0)</f>
        <v>0</v>
      </c>
      <c r="Q109" s="2" t="str">
        <f aca="false">IF(AND(M109=1,P109=1),"① 최우선 지원",IF(P109=1,"② 예방 대상",IF(M109=1,"③ 구조적 공백","④ 관찰")))</f>
        <v>④ 관찰</v>
      </c>
      <c r="R109" s="9" t="n">
        <v>0.2775</v>
      </c>
      <c r="S109" s="2" t="n">
        <f aca="false">RANK(R109,$R$2:$R$230,0)</f>
        <v>90</v>
      </c>
    </row>
    <row r="110" customFormat="false" ht="15" hidden="false" customHeight="false" outlineLevel="0" collapsed="false">
      <c r="A110" s="2" t="s">
        <v>271</v>
      </c>
      <c r="B110" s="3" t="s">
        <v>76</v>
      </c>
      <c r="C110" s="3" t="s">
        <v>272</v>
      </c>
      <c r="D110" s="2" t="n">
        <v>2025</v>
      </c>
      <c r="E110" s="2" t="n">
        <v>2028</v>
      </c>
      <c r="F110" s="2" t="n">
        <v>361</v>
      </c>
      <c r="G110" s="2" t="n">
        <v>9</v>
      </c>
      <c r="H110" s="8" t="n">
        <v>24.9307479224377</v>
      </c>
      <c r="I110" s="2" t="n">
        <v>0</v>
      </c>
      <c r="J110" s="2" t="n">
        <v>1</v>
      </c>
      <c r="K110" s="2" t="n">
        <f aca="false">IF(H110&lt;=PERCENTILE($H$2:$H$230,설명!$B$26),1,0)</f>
        <v>0</v>
      </c>
      <c r="L110" s="2" t="n">
        <f aca="false">IF(I110=0,1,0)</f>
        <v>1</v>
      </c>
      <c r="M110" s="2" t="n">
        <f aca="false">L110</f>
        <v>1</v>
      </c>
      <c r="N110" s="9" t="n">
        <v>0.2198</v>
      </c>
      <c r="O110" s="2" t="n">
        <f aca="false">RANK(N110,$N$2:$N$230,0)</f>
        <v>109</v>
      </c>
      <c r="P110" s="2" t="n">
        <f aca="false">IF(O110&lt;=설명!$B$25,1,0)</f>
        <v>0</v>
      </c>
      <c r="Q110" s="2" t="str">
        <f aca="false">IF(AND(M110=1,P110=1),"① 최우선 지원",IF(P110=1,"② 예방 대상",IF(M110=1,"③ 구조적 공백","④ 관찰")))</f>
        <v>③ 구조적 공백</v>
      </c>
      <c r="R110" s="9" t="n">
        <v>0.2914</v>
      </c>
      <c r="S110" s="2" t="n">
        <f aca="false">RANK(R110,$R$2:$R$230,0)</f>
        <v>81</v>
      </c>
    </row>
    <row r="111" customFormat="false" ht="15" hidden="false" customHeight="false" outlineLevel="0" collapsed="false">
      <c r="A111" s="2" t="s">
        <v>414</v>
      </c>
      <c r="B111" s="3" t="s">
        <v>120</v>
      </c>
      <c r="C111" s="3" t="s">
        <v>415</v>
      </c>
      <c r="D111" s="2" t="n">
        <v>2025</v>
      </c>
      <c r="E111" s="2" t="n">
        <v>2028</v>
      </c>
      <c r="F111" s="2" t="n">
        <v>2681</v>
      </c>
      <c r="G111" s="2" t="n">
        <v>61</v>
      </c>
      <c r="H111" s="8" t="n">
        <v>22.7527042148452</v>
      </c>
      <c r="I111" s="2" t="n">
        <v>4</v>
      </c>
      <c r="J111" s="2" t="n">
        <v>103</v>
      </c>
      <c r="K111" s="2" t="n">
        <f aca="false">IF(H111&lt;=PERCENTILE($H$2:$H$230,설명!$B$26),1,0)</f>
        <v>0</v>
      </c>
      <c r="L111" s="2" t="n">
        <f aca="false">IF(I111=0,1,0)</f>
        <v>0</v>
      </c>
      <c r="M111" s="2" t="n">
        <f aca="false">L111</f>
        <v>0</v>
      </c>
      <c r="N111" s="9" t="n">
        <v>0.2171</v>
      </c>
      <c r="O111" s="2" t="n">
        <f aca="false">RANK(N111,$N$2:$N$230,0)</f>
        <v>110</v>
      </c>
      <c r="P111" s="2" t="n">
        <f aca="false">IF(O111&lt;=설명!$B$25,1,0)</f>
        <v>0</v>
      </c>
      <c r="Q111" s="2" t="str">
        <f aca="false">IF(AND(M111=1,P111=1),"① 최우선 지원",IF(P111=1,"② 예방 대상",IF(M111=1,"③ 구조적 공백","④ 관찰")))</f>
        <v>④ 관찰</v>
      </c>
      <c r="R111" s="9" t="n">
        <v>0.2197</v>
      </c>
      <c r="S111" s="2" t="n">
        <f aca="false">RANK(R111,$R$2:$R$230,0)</f>
        <v>115</v>
      </c>
    </row>
    <row r="112" customFormat="false" ht="15" hidden="false" customHeight="false" outlineLevel="0" collapsed="false">
      <c r="A112" s="2" t="s">
        <v>249</v>
      </c>
      <c r="B112" s="3" t="s">
        <v>204</v>
      </c>
      <c r="C112" s="3" t="s">
        <v>250</v>
      </c>
      <c r="D112" s="2" t="n">
        <v>2025</v>
      </c>
      <c r="E112" s="2" t="n">
        <v>2028</v>
      </c>
      <c r="F112" s="2" t="n">
        <v>1445</v>
      </c>
      <c r="G112" s="2" t="n">
        <v>34</v>
      </c>
      <c r="H112" s="8" t="n">
        <v>23.5294117647059</v>
      </c>
      <c r="I112" s="2" t="n">
        <v>1</v>
      </c>
      <c r="J112" s="2" t="n">
        <v>2</v>
      </c>
      <c r="K112" s="2" t="n">
        <f aca="false">IF(H112&lt;=PERCENTILE($H$2:$H$230,설명!$B$26),1,0)</f>
        <v>0</v>
      </c>
      <c r="L112" s="2" t="n">
        <f aca="false">IF(I112=0,1,0)</f>
        <v>0</v>
      </c>
      <c r="M112" s="2" t="n">
        <f aca="false">L112</f>
        <v>0</v>
      </c>
      <c r="N112" s="9" t="n">
        <v>0.2171</v>
      </c>
      <c r="O112" s="2" t="n">
        <f aca="false">RANK(N112,$N$2:$N$230,0)</f>
        <v>110</v>
      </c>
      <c r="P112" s="2" t="n">
        <f aca="false">IF(O112&lt;=설명!$B$25,1,0)</f>
        <v>0</v>
      </c>
      <c r="Q112" s="2" t="str">
        <f aca="false">IF(AND(M112=1,P112=1),"① 최우선 지원",IF(P112=1,"② 예방 대상",IF(M112=1,"③ 구조적 공백","④ 관찰")))</f>
        <v>④ 관찰</v>
      </c>
      <c r="R112" s="9" t="n">
        <v>0.2853</v>
      </c>
      <c r="S112" s="2" t="n">
        <f aca="false">RANK(R112,$R$2:$R$230,0)</f>
        <v>83</v>
      </c>
    </row>
    <row r="113" customFormat="false" ht="15" hidden="false" customHeight="false" outlineLevel="0" collapsed="false">
      <c r="A113" s="2" t="s">
        <v>257</v>
      </c>
      <c r="B113" s="3" t="s">
        <v>90</v>
      </c>
      <c r="C113" s="3" t="s">
        <v>258</v>
      </c>
      <c r="D113" s="2" t="n">
        <v>2025</v>
      </c>
      <c r="E113" s="2" t="n">
        <v>2028</v>
      </c>
      <c r="F113" s="2" t="n">
        <v>5974</v>
      </c>
      <c r="G113" s="2" t="n">
        <v>98</v>
      </c>
      <c r="H113" s="8" t="n">
        <v>16.4044191496485</v>
      </c>
      <c r="I113" s="2" t="n">
        <v>3</v>
      </c>
      <c r="J113" s="2" t="n">
        <v>11</v>
      </c>
      <c r="K113" s="2" t="n">
        <f aca="false">IF(H113&lt;=PERCENTILE($H$2:$H$230,설명!$B$26),1,0)</f>
        <v>0</v>
      </c>
      <c r="L113" s="2" t="n">
        <f aca="false">IF(I113=0,1,0)</f>
        <v>0</v>
      </c>
      <c r="M113" s="2" t="n">
        <f aca="false">L113</f>
        <v>0</v>
      </c>
      <c r="N113" s="9" t="n">
        <v>0.215</v>
      </c>
      <c r="O113" s="2" t="n">
        <f aca="false">RANK(N113,$N$2:$N$230,0)</f>
        <v>112</v>
      </c>
      <c r="P113" s="2" t="n">
        <f aca="false">IF(O113&lt;=설명!$B$25,1,0)</f>
        <v>0</v>
      </c>
      <c r="Q113" s="2" t="str">
        <f aca="false">IF(AND(M113=1,P113=1),"① 최우선 지원",IF(P113=1,"② 예방 대상",IF(M113=1,"③ 구조적 공백","④ 관찰")))</f>
        <v>④ 관찰</v>
      </c>
      <c r="R113" s="9" t="n">
        <v>0.2282</v>
      </c>
      <c r="S113" s="2" t="n">
        <f aca="false">RANK(R113,$R$2:$R$230,0)</f>
        <v>112</v>
      </c>
    </row>
    <row r="114" customFormat="false" ht="15" hidden="false" customHeight="false" outlineLevel="0" collapsed="false">
      <c r="A114" s="2" t="s">
        <v>408</v>
      </c>
      <c r="B114" s="3" t="s">
        <v>90</v>
      </c>
      <c r="C114" s="3" t="s">
        <v>409</v>
      </c>
      <c r="D114" s="2" t="n">
        <v>2025</v>
      </c>
      <c r="E114" s="2" t="n">
        <v>2028</v>
      </c>
      <c r="F114" s="2" t="n">
        <v>1021</v>
      </c>
      <c r="G114" s="2" t="n">
        <v>11</v>
      </c>
      <c r="H114" s="8" t="n">
        <v>10.7737512242899</v>
      </c>
      <c r="I114" s="2" t="n">
        <v>0</v>
      </c>
      <c r="J114" s="2" t="n">
        <v>1</v>
      </c>
      <c r="K114" s="2" t="n">
        <f aca="false">IF(H114&lt;=PERCENTILE($H$2:$H$230,설명!$B$26),1,0)</f>
        <v>1</v>
      </c>
      <c r="L114" s="2" t="n">
        <f aca="false">IF(I114=0,1,0)</f>
        <v>1</v>
      </c>
      <c r="M114" s="2" t="n">
        <f aca="false">L114</f>
        <v>1</v>
      </c>
      <c r="N114" s="9" t="n">
        <v>0.2128</v>
      </c>
      <c r="O114" s="2" t="n">
        <f aca="false">RANK(N114,$N$2:$N$230,0)</f>
        <v>113</v>
      </c>
      <c r="P114" s="2" t="n">
        <f aca="false">IF(O114&lt;=설명!$B$25,1,0)</f>
        <v>0</v>
      </c>
      <c r="Q114" s="2" t="str">
        <f aca="false">IF(AND(M114=1,P114=1),"① 최우선 지원",IF(P114=1,"② 예방 대상",IF(M114=1,"③ 구조적 공백","④ 관찰")))</f>
        <v>③ 구조적 공백</v>
      </c>
      <c r="R114" s="9" t="n">
        <v>0.2241</v>
      </c>
      <c r="S114" s="2" t="n">
        <f aca="false">RANK(R114,$R$2:$R$230,0)</f>
        <v>113</v>
      </c>
    </row>
    <row r="115" customFormat="false" ht="15" hidden="false" customHeight="false" outlineLevel="0" collapsed="false">
      <c r="A115" s="2" t="s">
        <v>356</v>
      </c>
      <c r="B115" s="3" t="s">
        <v>63</v>
      </c>
      <c r="C115" s="3" t="s">
        <v>357</v>
      </c>
      <c r="D115" s="2" t="n">
        <v>2025</v>
      </c>
      <c r="E115" s="2" t="n">
        <v>2028</v>
      </c>
      <c r="F115" s="2" t="n">
        <v>1774</v>
      </c>
      <c r="G115" s="2" t="n">
        <v>24</v>
      </c>
      <c r="H115" s="8" t="n">
        <v>13.5287485907554</v>
      </c>
      <c r="I115" s="2" t="n">
        <v>1</v>
      </c>
      <c r="J115" s="2" t="n">
        <v>2</v>
      </c>
      <c r="K115" s="2" t="n">
        <f aca="false">IF(H115&lt;=PERCENTILE($H$2:$H$230,설명!$B$26),1,0)</f>
        <v>1</v>
      </c>
      <c r="L115" s="2" t="n">
        <f aca="false">IF(I115=0,1,0)</f>
        <v>0</v>
      </c>
      <c r="M115" s="2" t="n">
        <f aca="false">L115</f>
        <v>0</v>
      </c>
      <c r="N115" s="9" t="n">
        <v>0.2109</v>
      </c>
      <c r="O115" s="2" t="n">
        <f aca="false">RANK(N115,$N$2:$N$230,0)</f>
        <v>114</v>
      </c>
      <c r="P115" s="2" t="n">
        <f aca="false">IF(O115&lt;=설명!$B$25,1,0)</f>
        <v>0</v>
      </c>
      <c r="Q115" s="2" t="str">
        <f aca="false">IF(AND(M115=1,P115=1),"① 최우선 지원",IF(P115=1,"② 예방 대상",IF(M115=1,"③ 구조적 공백","④ 관찰")))</f>
        <v>④ 관찰</v>
      </c>
      <c r="R115" s="9" t="n">
        <v>0.2805</v>
      </c>
      <c r="S115" s="2" t="n">
        <f aca="false">RANK(R115,$R$2:$R$230,0)</f>
        <v>89</v>
      </c>
    </row>
    <row r="116" customFormat="false" ht="15" hidden="false" customHeight="false" outlineLevel="0" collapsed="false">
      <c r="A116" s="2" t="s">
        <v>389</v>
      </c>
      <c r="B116" s="3" t="s">
        <v>204</v>
      </c>
      <c r="C116" s="3" t="s">
        <v>390</v>
      </c>
      <c r="D116" s="2" t="n">
        <v>2025</v>
      </c>
      <c r="E116" s="2" t="n">
        <v>2028</v>
      </c>
      <c r="F116" s="2" t="n">
        <v>5336</v>
      </c>
      <c r="G116" s="2" t="n">
        <v>96</v>
      </c>
      <c r="H116" s="8" t="n">
        <v>17.9910044977511</v>
      </c>
      <c r="I116" s="2" t="n">
        <v>10</v>
      </c>
      <c r="J116" s="2" t="n">
        <v>27</v>
      </c>
      <c r="K116" s="2" t="n">
        <f aca="false">IF(H116&lt;=PERCENTILE($H$2:$H$230,설명!$B$26),1,0)</f>
        <v>0</v>
      </c>
      <c r="L116" s="2" t="n">
        <f aca="false">IF(I116=0,1,0)</f>
        <v>0</v>
      </c>
      <c r="M116" s="2" t="n">
        <f aca="false">L116</f>
        <v>0</v>
      </c>
      <c r="N116" s="9" t="n">
        <v>0.2103</v>
      </c>
      <c r="O116" s="2" t="n">
        <f aca="false">RANK(N116,$N$2:$N$230,0)</f>
        <v>115</v>
      </c>
      <c r="P116" s="2" t="n">
        <f aca="false">IF(O116&lt;=설명!$B$25,1,0)</f>
        <v>0</v>
      </c>
      <c r="Q116" s="2" t="str">
        <f aca="false">IF(AND(M116=1,P116=1),"① 최우선 지원",IF(P116=1,"② 예방 대상",IF(M116=1,"③ 구조적 공백","④ 관찰")))</f>
        <v>④ 관찰</v>
      </c>
      <c r="R116" s="9" t="n">
        <v>0.2695</v>
      </c>
      <c r="S116" s="2" t="n">
        <f aca="false">RANK(R116,$R$2:$R$230,0)</f>
        <v>94</v>
      </c>
    </row>
    <row r="117" customFormat="false" ht="15" hidden="false" customHeight="false" outlineLevel="0" collapsed="false">
      <c r="A117" s="2" t="s">
        <v>223</v>
      </c>
      <c r="B117" s="3" t="s">
        <v>90</v>
      </c>
      <c r="C117" s="3" t="s">
        <v>224</v>
      </c>
      <c r="D117" s="2" t="n">
        <v>2025</v>
      </c>
      <c r="E117" s="2" t="n">
        <v>2028</v>
      </c>
      <c r="F117" s="2" t="n">
        <v>4666</v>
      </c>
      <c r="G117" s="2" t="n">
        <v>81</v>
      </c>
      <c r="H117" s="8" t="n">
        <v>17.3596228032576</v>
      </c>
      <c r="I117" s="2" t="n">
        <v>3</v>
      </c>
      <c r="J117" s="2" t="n">
        <v>14</v>
      </c>
      <c r="K117" s="2" t="n">
        <f aca="false">IF(H117&lt;=PERCENTILE($H$2:$H$230,설명!$B$26),1,0)</f>
        <v>0</v>
      </c>
      <c r="L117" s="2" t="n">
        <f aca="false">IF(I117=0,1,0)</f>
        <v>0</v>
      </c>
      <c r="M117" s="2" t="n">
        <f aca="false">L117</f>
        <v>0</v>
      </c>
      <c r="N117" s="9" t="n">
        <v>0.2091</v>
      </c>
      <c r="O117" s="2" t="n">
        <f aca="false">RANK(N117,$N$2:$N$230,0)</f>
        <v>116</v>
      </c>
      <c r="P117" s="2" t="n">
        <f aca="false">IF(O117&lt;=설명!$B$25,1,0)</f>
        <v>0</v>
      </c>
      <c r="Q117" s="2" t="str">
        <f aca="false">IF(AND(M117=1,P117=1),"① 최우선 지원",IF(P117=1,"② 예방 대상",IF(M117=1,"③ 구조적 공백","④ 관찰")))</f>
        <v>④ 관찰</v>
      </c>
      <c r="R117" s="9" t="n">
        <v>0.2064</v>
      </c>
      <c r="S117" s="2" t="n">
        <f aca="false">RANK(R117,$R$2:$R$230,0)</f>
        <v>123</v>
      </c>
    </row>
    <row r="118" customFormat="false" ht="15" hidden="false" customHeight="false" outlineLevel="0" collapsed="false">
      <c r="A118" s="2" t="s">
        <v>352</v>
      </c>
      <c r="B118" s="3" t="s">
        <v>71</v>
      </c>
      <c r="C118" s="3" t="s">
        <v>353</v>
      </c>
      <c r="D118" s="2" t="n">
        <v>2025</v>
      </c>
      <c r="E118" s="2" t="n">
        <v>2028</v>
      </c>
      <c r="F118" s="2" t="n">
        <v>14498</v>
      </c>
      <c r="G118" s="2" t="n">
        <v>234</v>
      </c>
      <c r="H118" s="8" t="n">
        <v>16.1401572630708</v>
      </c>
      <c r="I118" s="2" t="n">
        <v>22</v>
      </c>
      <c r="J118" s="2" t="n">
        <v>46</v>
      </c>
      <c r="K118" s="2" t="n">
        <f aca="false">IF(H118&lt;=PERCENTILE($H$2:$H$230,설명!$B$26),1,0)</f>
        <v>0</v>
      </c>
      <c r="L118" s="2" t="n">
        <f aca="false">IF(I118=0,1,0)</f>
        <v>0</v>
      </c>
      <c r="M118" s="2" t="n">
        <f aca="false">L118</f>
        <v>0</v>
      </c>
      <c r="N118" s="9" t="n">
        <v>0.2071</v>
      </c>
      <c r="O118" s="2" t="n">
        <f aca="false">RANK(N118,$N$2:$N$230,0)</f>
        <v>117</v>
      </c>
      <c r="P118" s="2" t="n">
        <f aca="false">IF(O118&lt;=설명!$B$25,1,0)</f>
        <v>0</v>
      </c>
      <c r="Q118" s="2" t="str">
        <f aca="false">IF(AND(M118=1,P118=1),"① 최우선 지원",IF(P118=1,"② 예방 대상",IF(M118=1,"③ 구조적 공백","④ 관찰")))</f>
        <v>④ 관찰</v>
      </c>
      <c r="R118" s="9" t="n">
        <v>0.1445</v>
      </c>
      <c r="S118" s="2" t="n">
        <f aca="false">RANK(R118,$R$2:$R$230,0)</f>
        <v>156</v>
      </c>
    </row>
    <row r="119" customFormat="false" ht="15" hidden="false" customHeight="false" outlineLevel="0" collapsed="false">
      <c r="A119" s="2" t="s">
        <v>336</v>
      </c>
      <c r="B119" s="3" t="s">
        <v>204</v>
      </c>
      <c r="C119" s="3" t="s">
        <v>337</v>
      </c>
      <c r="D119" s="2" t="n">
        <v>2025</v>
      </c>
      <c r="E119" s="2" t="n">
        <v>2028</v>
      </c>
      <c r="F119" s="2" t="n">
        <v>586</v>
      </c>
      <c r="G119" s="2" t="n">
        <v>11</v>
      </c>
      <c r="H119" s="8" t="n">
        <v>18.7713310580205</v>
      </c>
      <c r="I119" s="2" t="n">
        <v>0</v>
      </c>
      <c r="J119" s="2" t="n">
        <v>1</v>
      </c>
      <c r="K119" s="2" t="n">
        <f aca="false">IF(H119&lt;=PERCENTILE($H$2:$H$230,설명!$B$26),1,0)</f>
        <v>0</v>
      </c>
      <c r="L119" s="2" t="n">
        <f aca="false">IF(I119=0,1,0)</f>
        <v>1</v>
      </c>
      <c r="M119" s="2" t="n">
        <f aca="false">L119</f>
        <v>1</v>
      </c>
      <c r="N119" s="9" t="n">
        <v>0.2068</v>
      </c>
      <c r="O119" s="2" t="n">
        <f aca="false">RANK(N119,$N$2:$N$230,0)</f>
        <v>118</v>
      </c>
      <c r="P119" s="2" t="n">
        <f aca="false">IF(O119&lt;=설명!$B$25,1,0)</f>
        <v>0</v>
      </c>
      <c r="Q119" s="2" t="str">
        <f aca="false">IF(AND(M119=1,P119=1),"① 최우선 지원",IF(P119=1,"② 예방 대상",IF(M119=1,"③ 구조적 공백","④ 관찰")))</f>
        <v>③ 구조적 공백</v>
      </c>
      <c r="R119" s="9" t="n">
        <v>0.2293</v>
      </c>
      <c r="S119" s="2" t="n">
        <f aca="false">RANK(R119,$R$2:$R$230,0)</f>
        <v>111</v>
      </c>
    </row>
    <row r="120" customFormat="false" ht="15" hidden="false" customHeight="false" outlineLevel="0" collapsed="false">
      <c r="A120" s="2" t="s">
        <v>314</v>
      </c>
      <c r="B120" s="3" t="s">
        <v>199</v>
      </c>
      <c r="C120" s="3" t="s">
        <v>315</v>
      </c>
      <c r="D120" s="2" t="n">
        <v>2025</v>
      </c>
      <c r="E120" s="2" t="n">
        <v>2028</v>
      </c>
      <c r="F120" s="2" t="n">
        <v>3062</v>
      </c>
      <c r="G120" s="2" t="n">
        <v>48</v>
      </c>
      <c r="H120" s="8" t="n">
        <v>15.676028739386</v>
      </c>
      <c r="I120" s="2" t="n">
        <v>5</v>
      </c>
      <c r="J120" s="2" t="n">
        <v>7</v>
      </c>
      <c r="K120" s="2" t="n">
        <f aca="false">IF(H120&lt;=PERCENTILE($H$2:$H$230,설명!$B$26),1,0)</f>
        <v>0</v>
      </c>
      <c r="L120" s="2" t="n">
        <f aca="false">IF(I120=0,1,0)</f>
        <v>0</v>
      </c>
      <c r="M120" s="2" t="n">
        <f aca="false">L120</f>
        <v>0</v>
      </c>
      <c r="N120" s="9" t="n">
        <v>0.2008</v>
      </c>
      <c r="O120" s="2" t="n">
        <f aca="false">RANK(N120,$N$2:$N$230,0)</f>
        <v>119</v>
      </c>
      <c r="P120" s="2" t="n">
        <f aca="false">IF(O120&lt;=설명!$B$25,1,0)</f>
        <v>0</v>
      </c>
      <c r="Q120" s="2" t="str">
        <f aca="false">IF(AND(M120=1,P120=1),"① 최우선 지원",IF(P120=1,"② 예방 대상",IF(M120=1,"③ 구조적 공백","④ 관찰")))</f>
        <v>④ 관찰</v>
      </c>
      <c r="R120" s="9" t="n">
        <v>0.2334</v>
      </c>
      <c r="S120" s="2" t="n">
        <f aca="false">RANK(R120,$R$2:$R$230,0)</f>
        <v>109</v>
      </c>
    </row>
    <row r="121" customFormat="false" ht="15" hidden="false" customHeight="false" outlineLevel="0" collapsed="false">
      <c r="A121" s="2" t="s">
        <v>316</v>
      </c>
      <c r="B121" s="3" t="s">
        <v>90</v>
      </c>
      <c r="C121" s="3" t="s">
        <v>317</v>
      </c>
      <c r="D121" s="2" t="n">
        <v>2025</v>
      </c>
      <c r="E121" s="2" t="n">
        <v>2028</v>
      </c>
      <c r="F121" s="2" t="n">
        <v>329</v>
      </c>
      <c r="G121" s="2" t="n">
        <v>6</v>
      </c>
      <c r="H121" s="8" t="n">
        <v>18.2370820668693</v>
      </c>
      <c r="I121" s="2" t="n">
        <v>0</v>
      </c>
      <c r="J121" s="2" t="n">
        <v>2</v>
      </c>
      <c r="K121" s="2" t="n">
        <f aca="false">IF(H121&lt;=PERCENTILE($H$2:$H$230,설명!$B$26),1,0)</f>
        <v>0</v>
      </c>
      <c r="L121" s="2" t="n">
        <f aca="false">IF(I121=0,1,0)</f>
        <v>1</v>
      </c>
      <c r="M121" s="2" t="n">
        <f aca="false">L121</f>
        <v>1</v>
      </c>
      <c r="N121" s="9" t="n">
        <v>0.1997</v>
      </c>
      <c r="O121" s="2" t="n">
        <f aca="false">RANK(N121,$N$2:$N$230,0)</f>
        <v>120</v>
      </c>
      <c r="P121" s="2" t="n">
        <f aca="false">IF(O121&lt;=설명!$B$25,1,0)</f>
        <v>0</v>
      </c>
      <c r="Q121" s="2" t="str">
        <f aca="false">IF(AND(M121=1,P121=1),"① 최우선 지원",IF(P121=1,"② 예방 대상",IF(M121=1,"③ 구조적 공백","④ 관찰")))</f>
        <v>③ 구조적 공백</v>
      </c>
      <c r="R121" s="9" t="n">
        <v>0.2597</v>
      </c>
      <c r="S121" s="2" t="n">
        <f aca="false">RANK(R121,$R$2:$R$230,0)</f>
        <v>96</v>
      </c>
    </row>
    <row r="122" customFormat="false" ht="15" hidden="false" customHeight="false" outlineLevel="0" collapsed="false">
      <c r="A122" s="2" t="s">
        <v>221</v>
      </c>
      <c r="B122" s="3" t="s">
        <v>204</v>
      </c>
      <c r="C122" s="3" t="s">
        <v>222</v>
      </c>
      <c r="D122" s="2" t="n">
        <v>2025</v>
      </c>
      <c r="E122" s="2" t="n">
        <v>2028</v>
      </c>
      <c r="F122" s="2" t="n">
        <v>9300</v>
      </c>
      <c r="G122" s="2" t="n">
        <v>163</v>
      </c>
      <c r="H122" s="8" t="n">
        <v>17.5268817204301</v>
      </c>
      <c r="I122" s="2" t="n">
        <v>11</v>
      </c>
      <c r="J122" s="2" t="n">
        <v>44</v>
      </c>
      <c r="K122" s="2" t="n">
        <f aca="false">IF(H122&lt;=PERCENTILE($H$2:$H$230,설명!$B$26),1,0)</f>
        <v>0</v>
      </c>
      <c r="L122" s="2" t="n">
        <f aca="false">IF(I122=0,1,0)</f>
        <v>0</v>
      </c>
      <c r="M122" s="2" t="n">
        <f aca="false">L122</f>
        <v>0</v>
      </c>
      <c r="N122" s="9" t="n">
        <v>0.1997</v>
      </c>
      <c r="O122" s="2" t="n">
        <f aca="false">RANK(N122,$N$2:$N$230,0)</f>
        <v>120</v>
      </c>
      <c r="P122" s="2" t="n">
        <f aca="false">IF(O122&lt;=설명!$B$25,1,0)</f>
        <v>0</v>
      </c>
      <c r="Q122" s="2" t="str">
        <f aca="false">IF(AND(M122=1,P122=1),"① 최우선 지원",IF(P122=1,"② 예방 대상",IF(M122=1,"③ 구조적 공백","④ 관찰")))</f>
        <v>④ 관찰</v>
      </c>
      <c r="R122" s="9" t="n">
        <v>0.2024</v>
      </c>
      <c r="S122" s="2" t="n">
        <f aca="false">RANK(R122,$R$2:$R$230,0)</f>
        <v>124</v>
      </c>
    </row>
    <row r="123" customFormat="false" ht="15" hidden="false" customHeight="false" outlineLevel="0" collapsed="false">
      <c r="A123" s="2" t="s">
        <v>294</v>
      </c>
      <c r="B123" s="3" t="s">
        <v>71</v>
      </c>
      <c r="C123" s="3" t="s">
        <v>295</v>
      </c>
      <c r="D123" s="2" t="n">
        <v>2025</v>
      </c>
      <c r="E123" s="2" t="n">
        <v>2028</v>
      </c>
      <c r="F123" s="2" t="n">
        <v>311</v>
      </c>
      <c r="G123" s="2" t="n">
        <v>11</v>
      </c>
      <c r="H123" s="8" t="n">
        <v>35.3697749196142</v>
      </c>
      <c r="I123" s="2" t="n">
        <v>0</v>
      </c>
      <c r="J123" s="2" t="n">
        <v>0</v>
      </c>
      <c r="K123" s="2" t="n">
        <f aca="false">IF(H123&lt;=PERCENTILE($H$2:$H$230,설명!$B$26),1,0)</f>
        <v>0</v>
      </c>
      <c r="L123" s="2" t="n">
        <f aca="false">IF(I123=0,1,0)</f>
        <v>1</v>
      </c>
      <c r="M123" s="2" t="n">
        <f aca="false">L123</f>
        <v>1</v>
      </c>
      <c r="N123" s="9" t="n">
        <v>0.1997</v>
      </c>
      <c r="O123" s="2" t="n">
        <f aca="false">RANK(N123,$N$2:$N$230,0)</f>
        <v>120</v>
      </c>
      <c r="P123" s="2" t="n">
        <f aca="false">IF(O123&lt;=설명!$B$25,1,0)</f>
        <v>0</v>
      </c>
      <c r="Q123" s="2" t="str">
        <f aca="false">IF(AND(M123=1,P123=1),"① 최우선 지원",IF(P123=1,"② 예방 대상",IF(M123=1,"③ 구조적 공백","④ 관찰")))</f>
        <v>③ 구조적 공백</v>
      </c>
      <c r="R123" s="9" t="n">
        <v>0.2067</v>
      </c>
      <c r="S123" s="2" t="n">
        <f aca="false">RANK(R123,$R$2:$R$230,0)</f>
        <v>121</v>
      </c>
    </row>
    <row r="124" customFormat="false" ht="15" hidden="false" customHeight="false" outlineLevel="0" collapsed="false">
      <c r="A124" s="2" t="s">
        <v>406</v>
      </c>
      <c r="B124" s="3" t="s">
        <v>108</v>
      </c>
      <c r="C124" s="3" t="s">
        <v>407</v>
      </c>
      <c r="D124" s="2" t="n">
        <v>2025</v>
      </c>
      <c r="E124" s="2" t="n">
        <v>2028</v>
      </c>
      <c r="F124" s="2" t="n">
        <v>15319</v>
      </c>
      <c r="G124" s="2" t="n">
        <v>256</v>
      </c>
      <c r="H124" s="8" t="n">
        <v>16.7112735818265</v>
      </c>
      <c r="I124" s="2" t="n">
        <v>19</v>
      </c>
      <c r="J124" s="2" t="n">
        <v>67</v>
      </c>
      <c r="K124" s="2" t="n">
        <f aca="false">IF(H124&lt;=PERCENTILE($H$2:$H$230,설명!$B$26),1,0)</f>
        <v>0</v>
      </c>
      <c r="L124" s="2" t="n">
        <f aca="false">IF(I124=0,1,0)</f>
        <v>0</v>
      </c>
      <c r="M124" s="2" t="n">
        <f aca="false">L124</f>
        <v>0</v>
      </c>
      <c r="N124" s="9" t="n">
        <v>0.1995</v>
      </c>
      <c r="O124" s="2" t="n">
        <f aca="false">RANK(N124,$N$2:$N$230,0)</f>
        <v>123</v>
      </c>
      <c r="P124" s="2" t="n">
        <f aca="false">IF(O124&lt;=설명!$B$25,1,0)</f>
        <v>0</v>
      </c>
      <c r="Q124" s="2" t="str">
        <f aca="false">IF(AND(M124=1,P124=1),"① 최우선 지원",IF(P124=1,"② 예방 대상",IF(M124=1,"③ 구조적 공백","④ 관찰")))</f>
        <v>④ 관찰</v>
      </c>
      <c r="R124" s="9" t="n">
        <v>0.0982</v>
      </c>
      <c r="S124" s="2" t="n">
        <f aca="false">RANK(R124,$R$2:$R$230,0)</f>
        <v>204</v>
      </c>
    </row>
    <row r="125" customFormat="false" ht="15" hidden="false" customHeight="false" outlineLevel="0" collapsed="false">
      <c r="A125" s="2" t="s">
        <v>267</v>
      </c>
      <c r="B125" s="3" t="s">
        <v>153</v>
      </c>
      <c r="C125" s="3" t="s">
        <v>268</v>
      </c>
      <c r="D125" s="2" t="n">
        <v>2025</v>
      </c>
      <c r="E125" s="2" t="n">
        <v>2028</v>
      </c>
      <c r="F125" s="2" t="n">
        <v>3128</v>
      </c>
      <c r="G125" s="2" t="n">
        <v>58</v>
      </c>
      <c r="H125" s="8" t="n">
        <v>18.5421994884911</v>
      </c>
      <c r="I125" s="2" t="n">
        <v>5</v>
      </c>
      <c r="J125" s="2" t="n">
        <v>14</v>
      </c>
      <c r="K125" s="2" t="n">
        <f aca="false">IF(H125&lt;=PERCENTILE($H$2:$H$230,설명!$B$26),1,0)</f>
        <v>0</v>
      </c>
      <c r="L125" s="2" t="n">
        <f aca="false">IF(I125=0,1,0)</f>
        <v>0</v>
      </c>
      <c r="M125" s="2" t="n">
        <f aca="false">L125</f>
        <v>0</v>
      </c>
      <c r="N125" s="9" t="n">
        <v>0.1983</v>
      </c>
      <c r="O125" s="2" t="n">
        <f aca="false">RANK(N125,$N$2:$N$230,0)</f>
        <v>124</v>
      </c>
      <c r="P125" s="2" t="n">
        <f aca="false">IF(O125&lt;=설명!$B$25,1,0)</f>
        <v>0</v>
      </c>
      <c r="Q125" s="2" t="str">
        <f aca="false">IF(AND(M125=1,P125=1),"① 최우선 지원",IF(P125=1,"② 예방 대상",IF(M125=1,"③ 구조적 공백","④ 관찰")))</f>
        <v>④ 관찰</v>
      </c>
      <c r="R125" s="9" t="n">
        <v>0.2411</v>
      </c>
      <c r="S125" s="2" t="n">
        <f aca="false">RANK(R125,$R$2:$R$230,0)</f>
        <v>102</v>
      </c>
    </row>
    <row r="126" customFormat="false" ht="15" hidden="false" customHeight="false" outlineLevel="0" collapsed="false">
      <c r="A126" s="2" t="s">
        <v>253</v>
      </c>
      <c r="B126" s="3" t="s">
        <v>120</v>
      </c>
      <c r="C126" s="3" t="s">
        <v>254</v>
      </c>
      <c r="D126" s="2" t="n">
        <v>2025</v>
      </c>
      <c r="E126" s="2" t="n">
        <v>2028</v>
      </c>
      <c r="F126" s="2" t="n">
        <v>7134</v>
      </c>
      <c r="G126" s="2" t="n">
        <v>119</v>
      </c>
      <c r="H126" s="8" t="n">
        <v>16.6806840482198</v>
      </c>
      <c r="I126" s="2" t="n">
        <v>17</v>
      </c>
      <c r="J126" s="2" t="n">
        <v>29</v>
      </c>
      <c r="K126" s="2" t="n">
        <f aca="false">IF(H126&lt;=PERCENTILE($H$2:$H$230,설명!$B$26),1,0)</f>
        <v>0</v>
      </c>
      <c r="L126" s="2" t="n">
        <f aca="false">IF(I126=0,1,0)</f>
        <v>0</v>
      </c>
      <c r="M126" s="2" t="n">
        <f aca="false">L126</f>
        <v>0</v>
      </c>
      <c r="N126" s="9" t="n">
        <v>0.1966</v>
      </c>
      <c r="O126" s="2" t="n">
        <f aca="false">RANK(N126,$N$2:$N$230,0)</f>
        <v>125</v>
      </c>
      <c r="P126" s="2" t="n">
        <f aca="false">IF(O126&lt;=설명!$B$25,1,0)</f>
        <v>0</v>
      </c>
      <c r="Q126" s="2" t="str">
        <f aca="false">IF(AND(M126=1,P126=1),"① 최우선 지원",IF(P126=1,"② 예방 대상",IF(M126=1,"③ 구조적 공백","④ 관찰")))</f>
        <v>④ 관찰</v>
      </c>
      <c r="R126" s="9" t="n">
        <v>0.1981</v>
      </c>
      <c r="S126" s="2" t="n">
        <f aca="false">RANK(R126,$R$2:$R$230,0)</f>
        <v>128</v>
      </c>
    </row>
    <row r="127" customFormat="false" ht="15" hidden="false" customHeight="false" outlineLevel="0" collapsed="false">
      <c r="A127" s="2" t="s">
        <v>345</v>
      </c>
      <c r="B127" s="3" t="s">
        <v>66</v>
      </c>
      <c r="C127" s="3" t="s">
        <v>346</v>
      </c>
      <c r="D127" s="2" t="n">
        <v>2025</v>
      </c>
      <c r="E127" s="2" t="n">
        <v>2028</v>
      </c>
      <c r="F127" s="2" t="n">
        <v>36820</v>
      </c>
      <c r="G127" s="2" t="n">
        <v>600</v>
      </c>
      <c r="H127" s="8" t="n">
        <v>16.2954915806627</v>
      </c>
      <c r="I127" s="2" t="n">
        <v>55</v>
      </c>
      <c r="J127" s="2" t="n">
        <v>116</v>
      </c>
      <c r="K127" s="2" t="n">
        <f aca="false">IF(H127&lt;=PERCENTILE($H$2:$H$230,설명!$B$26),1,0)</f>
        <v>0</v>
      </c>
      <c r="L127" s="2" t="n">
        <f aca="false">IF(I127=0,1,0)</f>
        <v>0</v>
      </c>
      <c r="M127" s="2" t="n">
        <f aca="false">L127</f>
        <v>0</v>
      </c>
      <c r="N127" s="9" t="n">
        <v>0.1935</v>
      </c>
      <c r="O127" s="2" t="n">
        <f aca="false">RANK(N127,$N$2:$N$230,0)</f>
        <v>126</v>
      </c>
      <c r="P127" s="2" t="n">
        <f aca="false">IF(O127&lt;=설명!$B$25,1,0)</f>
        <v>0</v>
      </c>
      <c r="Q127" s="2" t="str">
        <f aca="false">IF(AND(M127=1,P127=1),"① 최우선 지원",IF(P127=1,"② 예방 대상",IF(M127=1,"③ 구조적 공백","④ 관찰")))</f>
        <v>④ 관찰</v>
      </c>
      <c r="R127" s="9" t="n">
        <v>0.1926</v>
      </c>
      <c r="S127" s="2" t="n">
        <f aca="false">RANK(R127,$R$2:$R$230,0)</f>
        <v>131</v>
      </c>
    </row>
    <row r="128" customFormat="false" ht="15" hidden="false" customHeight="false" outlineLevel="0" collapsed="false">
      <c r="A128" s="2" t="s">
        <v>289</v>
      </c>
      <c r="B128" s="3" t="s">
        <v>135</v>
      </c>
      <c r="C128" s="3" t="s">
        <v>114</v>
      </c>
      <c r="D128" s="2" t="n">
        <v>2025</v>
      </c>
      <c r="E128" s="2" t="n">
        <v>2028</v>
      </c>
      <c r="F128" s="2" t="n">
        <v>10207</v>
      </c>
      <c r="G128" s="2" t="n">
        <v>162</v>
      </c>
      <c r="H128" s="8" t="n">
        <v>15.871460762222</v>
      </c>
      <c r="I128" s="2" t="n">
        <v>19</v>
      </c>
      <c r="J128" s="2" t="n">
        <v>50</v>
      </c>
      <c r="K128" s="2" t="n">
        <f aca="false">IF(H128&lt;=PERCENTILE($H$2:$H$230,설명!$B$26),1,0)</f>
        <v>0</v>
      </c>
      <c r="L128" s="2" t="n">
        <f aca="false">IF(I128=0,1,0)</f>
        <v>0</v>
      </c>
      <c r="M128" s="2" t="n">
        <f aca="false">L128</f>
        <v>0</v>
      </c>
      <c r="N128" s="9" t="n">
        <v>0.1918</v>
      </c>
      <c r="O128" s="2" t="n">
        <f aca="false">RANK(N128,$N$2:$N$230,0)</f>
        <v>127</v>
      </c>
      <c r="P128" s="2" t="n">
        <f aca="false">IF(O128&lt;=설명!$B$25,1,0)</f>
        <v>0</v>
      </c>
      <c r="Q128" s="2" t="str">
        <f aca="false">IF(AND(M128=1,P128=1),"① 최우선 지원",IF(P128=1,"② 예방 대상",IF(M128=1,"③ 구조적 공백","④ 관찰")))</f>
        <v>④ 관찰</v>
      </c>
      <c r="R128" s="9" t="n">
        <v>0.2065</v>
      </c>
      <c r="S128" s="2" t="n">
        <f aca="false">RANK(R128,$R$2:$R$230,0)</f>
        <v>122</v>
      </c>
    </row>
    <row r="129" customFormat="false" ht="15" hidden="false" customHeight="false" outlineLevel="0" collapsed="false">
      <c r="A129" s="2" t="s">
        <v>351</v>
      </c>
      <c r="B129" s="3" t="s">
        <v>79</v>
      </c>
      <c r="C129" s="3" t="s">
        <v>114</v>
      </c>
      <c r="D129" s="2" t="n">
        <v>2025</v>
      </c>
      <c r="E129" s="2" t="n">
        <v>2028</v>
      </c>
      <c r="F129" s="2" t="n">
        <v>2023</v>
      </c>
      <c r="G129" s="2" t="n">
        <v>28</v>
      </c>
      <c r="H129" s="8" t="n">
        <v>13.840830449827</v>
      </c>
      <c r="I129" s="2" t="n">
        <v>1</v>
      </c>
      <c r="J129" s="2" t="n">
        <v>23</v>
      </c>
      <c r="K129" s="2" t="n">
        <f aca="false">IF(H129&lt;=PERCENTILE($H$2:$H$230,설명!$B$26),1,0)</f>
        <v>1</v>
      </c>
      <c r="L129" s="2" t="n">
        <f aca="false">IF(I129=0,1,0)</f>
        <v>0</v>
      </c>
      <c r="M129" s="2" t="n">
        <f aca="false">L129</f>
        <v>0</v>
      </c>
      <c r="N129" s="9" t="n">
        <v>0.1913</v>
      </c>
      <c r="O129" s="2" t="n">
        <f aca="false">RANK(N129,$N$2:$N$230,0)</f>
        <v>128</v>
      </c>
      <c r="P129" s="2" t="n">
        <f aca="false">IF(O129&lt;=설명!$B$25,1,0)</f>
        <v>0</v>
      </c>
      <c r="Q129" s="2" t="str">
        <f aca="false">IF(AND(M129=1,P129=1),"① 최우선 지원",IF(P129=1,"② 예방 대상",IF(M129=1,"③ 구조적 공백","④ 관찰")))</f>
        <v>④ 관찰</v>
      </c>
      <c r="R129" s="9" t="n">
        <v>0.1971</v>
      </c>
      <c r="S129" s="2" t="n">
        <f aca="false">RANK(R129,$R$2:$R$230,0)</f>
        <v>129</v>
      </c>
    </row>
    <row r="130" customFormat="false" ht="15" hidden="false" customHeight="false" outlineLevel="0" collapsed="false">
      <c r="A130" s="2" t="s">
        <v>306</v>
      </c>
      <c r="B130" s="3" t="s">
        <v>76</v>
      </c>
      <c r="C130" s="3" t="s">
        <v>307</v>
      </c>
      <c r="D130" s="2" t="n">
        <v>2025</v>
      </c>
      <c r="E130" s="2" t="n">
        <v>2028</v>
      </c>
      <c r="F130" s="2" t="n">
        <v>779</v>
      </c>
      <c r="G130" s="2" t="n">
        <v>11</v>
      </c>
      <c r="H130" s="8" t="n">
        <v>14.1206675224647</v>
      </c>
      <c r="I130" s="2" t="n">
        <v>0</v>
      </c>
      <c r="J130" s="2" t="n">
        <v>2</v>
      </c>
      <c r="K130" s="2" t="n">
        <f aca="false">IF(H130&lt;=PERCENTILE($H$2:$H$230,설명!$B$26),1,0)</f>
        <v>1</v>
      </c>
      <c r="L130" s="2" t="n">
        <f aca="false">IF(I130=0,1,0)</f>
        <v>1</v>
      </c>
      <c r="M130" s="2" t="n">
        <f aca="false">L130</f>
        <v>1</v>
      </c>
      <c r="N130" s="9" t="n">
        <v>0.187</v>
      </c>
      <c r="O130" s="2" t="n">
        <f aca="false">RANK(N130,$N$2:$N$230,0)</f>
        <v>129</v>
      </c>
      <c r="P130" s="2" t="n">
        <f aca="false">IF(O130&lt;=설명!$B$25,1,0)</f>
        <v>0</v>
      </c>
      <c r="Q130" s="2" t="str">
        <f aca="false">IF(AND(M130=1,P130=1),"① 최우선 지원",IF(P130=1,"② 예방 대상",IF(M130=1,"③ 구조적 공백","④ 관찰")))</f>
        <v>③ 구조적 공백</v>
      </c>
      <c r="R130" s="9" t="n">
        <v>0.1871</v>
      </c>
      <c r="S130" s="2" t="n">
        <f aca="false">RANK(R130,$R$2:$R$230,0)</f>
        <v>134</v>
      </c>
    </row>
    <row r="131" customFormat="false" ht="15" hidden="false" customHeight="false" outlineLevel="0" collapsed="false">
      <c r="A131" s="2" t="s">
        <v>239</v>
      </c>
      <c r="B131" s="3" t="s">
        <v>66</v>
      </c>
      <c r="C131" s="3" t="s">
        <v>240</v>
      </c>
      <c r="D131" s="2" t="n">
        <v>2025</v>
      </c>
      <c r="E131" s="2" t="n">
        <v>2028</v>
      </c>
      <c r="F131" s="2" t="n">
        <v>7131</v>
      </c>
      <c r="G131" s="2" t="n">
        <v>123</v>
      </c>
      <c r="H131" s="8" t="n">
        <v>17.2486327303324</v>
      </c>
      <c r="I131" s="2" t="n">
        <v>7</v>
      </c>
      <c r="J131" s="2" t="n">
        <v>18</v>
      </c>
      <c r="K131" s="2" t="n">
        <f aca="false">IF(H131&lt;=PERCENTILE($H$2:$H$230,설명!$B$26),1,0)</f>
        <v>0</v>
      </c>
      <c r="L131" s="2" t="n">
        <f aca="false">IF(I131=0,1,0)</f>
        <v>0</v>
      </c>
      <c r="M131" s="2" t="n">
        <f aca="false">L131</f>
        <v>0</v>
      </c>
      <c r="N131" s="9" t="n">
        <v>0.1867</v>
      </c>
      <c r="O131" s="2" t="n">
        <f aca="false">RANK(N131,$N$2:$N$230,0)</f>
        <v>130</v>
      </c>
      <c r="P131" s="2" t="n">
        <f aca="false">IF(O131&lt;=설명!$B$25,1,0)</f>
        <v>0</v>
      </c>
      <c r="Q131" s="2" t="str">
        <f aca="false">IF(AND(M131=1,P131=1),"① 최우선 지원",IF(P131=1,"② 예방 대상",IF(M131=1,"③ 구조적 공백","④ 관찰")))</f>
        <v>④ 관찰</v>
      </c>
      <c r="R131" s="9" t="n">
        <v>0.1987</v>
      </c>
      <c r="S131" s="2" t="n">
        <f aca="false">RANK(R131,$R$2:$R$230,0)</f>
        <v>127</v>
      </c>
    </row>
    <row r="132" customFormat="false" ht="15" hidden="false" customHeight="false" outlineLevel="0" collapsed="false">
      <c r="A132" s="2" t="s">
        <v>300</v>
      </c>
      <c r="B132" s="3" t="s">
        <v>54</v>
      </c>
      <c r="C132" s="3" t="s">
        <v>301</v>
      </c>
      <c r="D132" s="2" t="n">
        <v>2025</v>
      </c>
      <c r="E132" s="2" t="n">
        <v>2028</v>
      </c>
      <c r="F132" s="2" t="n">
        <v>399</v>
      </c>
      <c r="G132" s="2" t="n">
        <v>6</v>
      </c>
      <c r="H132" s="8" t="n">
        <v>15.0375939849624</v>
      </c>
      <c r="I132" s="2" t="n">
        <v>0</v>
      </c>
      <c r="J132" s="2" t="n">
        <v>1</v>
      </c>
      <c r="K132" s="2" t="n">
        <f aca="false">IF(H132&lt;=PERCENTILE($H$2:$H$230,설명!$B$26),1,0)</f>
        <v>1</v>
      </c>
      <c r="L132" s="2" t="n">
        <f aca="false">IF(I132=0,1,0)</f>
        <v>1</v>
      </c>
      <c r="M132" s="2" t="n">
        <f aca="false">L132</f>
        <v>1</v>
      </c>
      <c r="N132" s="9" t="n">
        <v>0.1856</v>
      </c>
      <c r="O132" s="2" t="n">
        <f aca="false">RANK(N132,$N$2:$N$230,0)</f>
        <v>131</v>
      </c>
      <c r="P132" s="2" t="n">
        <f aca="false">IF(O132&lt;=설명!$B$25,1,0)</f>
        <v>0</v>
      </c>
      <c r="Q132" s="2" t="str">
        <f aca="false">IF(AND(M132=1,P132=1),"① 최우선 지원",IF(P132=1,"② 예방 대상",IF(M132=1,"③ 구조적 공백","④ 관찰")))</f>
        <v>③ 구조적 공백</v>
      </c>
      <c r="R132" s="9" t="n">
        <v>0.1683</v>
      </c>
      <c r="S132" s="2" t="n">
        <f aca="false">RANK(R132,$R$2:$R$230,0)</f>
        <v>141</v>
      </c>
    </row>
    <row r="133" customFormat="false" ht="15" hidden="false" customHeight="false" outlineLevel="0" collapsed="false">
      <c r="A133" s="2" t="s">
        <v>312</v>
      </c>
      <c r="B133" s="3" t="s">
        <v>90</v>
      </c>
      <c r="C133" s="3" t="s">
        <v>313</v>
      </c>
      <c r="D133" s="2" t="n">
        <v>2025</v>
      </c>
      <c r="E133" s="2" t="n">
        <v>2028</v>
      </c>
      <c r="F133" s="2" t="n">
        <v>602</v>
      </c>
      <c r="G133" s="2" t="n">
        <v>11</v>
      </c>
      <c r="H133" s="8" t="n">
        <v>18.2724252491694</v>
      </c>
      <c r="I133" s="2" t="n">
        <v>0</v>
      </c>
      <c r="J133" s="2" t="n">
        <v>0</v>
      </c>
      <c r="K133" s="2" t="n">
        <f aca="false">IF(H133&lt;=PERCENTILE($H$2:$H$230,설명!$B$26),1,0)</f>
        <v>0</v>
      </c>
      <c r="L133" s="2" t="n">
        <f aca="false">IF(I133=0,1,0)</f>
        <v>1</v>
      </c>
      <c r="M133" s="2" t="n">
        <f aca="false">L133</f>
        <v>1</v>
      </c>
      <c r="N133" s="9" t="n">
        <v>0.1821</v>
      </c>
      <c r="O133" s="2" t="n">
        <f aca="false">RANK(N133,$N$2:$N$230,0)</f>
        <v>132</v>
      </c>
      <c r="P133" s="2" t="n">
        <f aca="false">IF(O133&lt;=설명!$B$25,1,0)</f>
        <v>0</v>
      </c>
      <c r="Q133" s="2" t="str">
        <f aca="false">IF(AND(M133=1,P133=1),"① 최우선 지원",IF(P133=1,"② 예방 대상",IF(M133=1,"③ 구조적 공백","④ 관찰")))</f>
        <v>③ 구조적 공백</v>
      </c>
      <c r="R133" s="9" t="n">
        <v>0.2108</v>
      </c>
      <c r="S133" s="2" t="n">
        <f aca="false">RANK(R133,$R$2:$R$230,0)</f>
        <v>117</v>
      </c>
    </row>
    <row r="134" customFormat="false" ht="15" hidden="false" customHeight="false" outlineLevel="0" collapsed="false">
      <c r="A134" s="2" t="s">
        <v>302</v>
      </c>
      <c r="B134" s="3" t="s">
        <v>76</v>
      </c>
      <c r="C134" s="3" t="s">
        <v>303</v>
      </c>
      <c r="D134" s="2" t="n">
        <v>2025</v>
      </c>
      <c r="E134" s="2" t="n">
        <v>2028</v>
      </c>
      <c r="F134" s="2" t="n">
        <v>7390</v>
      </c>
      <c r="G134" s="2" t="n">
        <v>125</v>
      </c>
      <c r="H134" s="8" t="n">
        <v>16.914749661705</v>
      </c>
      <c r="I134" s="2" t="n">
        <v>11</v>
      </c>
      <c r="J134" s="2" t="n">
        <v>22</v>
      </c>
      <c r="K134" s="2" t="n">
        <f aca="false">IF(H134&lt;=PERCENTILE($H$2:$H$230,설명!$B$26),1,0)</f>
        <v>0</v>
      </c>
      <c r="L134" s="2" t="n">
        <f aca="false">IF(I134=0,1,0)</f>
        <v>0</v>
      </c>
      <c r="M134" s="2" t="n">
        <f aca="false">L134</f>
        <v>0</v>
      </c>
      <c r="N134" s="9" t="n">
        <v>0.1817</v>
      </c>
      <c r="O134" s="2" t="n">
        <f aca="false">RANK(N134,$N$2:$N$230,0)</f>
        <v>133</v>
      </c>
      <c r="P134" s="2" t="n">
        <f aca="false">IF(O134&lt;=설명!$B$25,1,0)</f>
        <v>0</v>
      </c>
      <c r="Q134" s="2" t="str">
        <f aca="false">IF(AND(M134=1,P134=1),"① 최우선 지원",IF(P134=1,"② 예방 대상",IF(M134=1,"③ 구조적 공백","④ 관찰")))</f>
        <v>④ 관찰</v>
      </c>
      <c r="R134" s="9" t="n">
        <v>0.2077</v>
      </c>
      <c r="S134" s="2" t="n">
        <f aca="false">RANK(R134,$R$2:$R$230,0)</f>
        <v>119</v>
      </c>
    </row>
    <row r="135" customFormat="false" ht="15" hidden="false" customHeight="false" outlineLevel="0" collapsed="false">
      <c r="A135" s="2" t="s">
        <v>304</v>
      </c>
      <c r="B135" s="3" t="s">
        <v>135</v>
      </c>
      <c r="C135" s="3" t="s">
        <v>104</v>
      </c>
      <c r="D135" s="2" t="n">
        <v>2025</v>
      </c>
      <c r="E135" s="2" t="n">
        <v>2028</v>
      </c>
      <c r="F135" s="2" t="n">
        <v>4902</v>
      </c>
      <c r="G135" s="2" t="n">
        <v>38</v>
      </c>
      <c r="H135" s="8" t="n">
        <v>7.75193798449612</v>
      </c>
      <c r="I135" s="2" t="n">
        <v>5</v>
      </c>
      <c r="J135" s="2" t="n">
        <v>25</v>
      </c>
      <c r="K135" s="2" t="n">
        <f aca="false">IF(H135&lt;=PERCENTILE($H$2:$H$230,설명!$B$26),1,0)</f>
        <v>1</v>
      </c>
      <c r="L135" s="2" t="n">
        <f aca="false">IF(I135=0,1,0)</f>
        <v>0</v>
      </c>
      <c r="M135" s="2" t="n">
        <f aca="false">L135</f>
        <v>0</v>
      </c>
      <c r="N135" s="9" t="n">
        <v>0.1789</v>
      </c>
      <c r="O135" s="2" t="n">
        <f aca="false">RANK(N135,$N$2:$N$230,0)</f>
        <v>134</v>
      </c>
      <c r="P135" s="2" t="n">
        <f aca="false">IF(O135&lt;=설명!$B$25,1,0)</f>
        <v>0</v>
      </c>
      <c r="Q135" s="2" t="str">
        <f aca="false">IF(AND(M135=1,P135=1),"① 최우선 지원",IF(P135=1,"② 예방 대상",IF(M135=1,"③ 구조적 공백","④ 관찰")))</f>
        <v>④ 관찰</v>
      </c>
      <c r="R135" s="9" t="n">
        <v>0.132</v>
      </c>
      <c r="S135" s="2" t="n">
        <f aca="false">RANK(R135,$R$2:$R$230,0)</f>
        <v>168</v>
      </c>
    </row>
    <row r="136" customFormat="false" ht="15" hidden="false" customHeight="false" outlineLevel="0" collapsed="false">
      <c r="A136" s="2" t="s">
        <v>326</v>
      </c>
      <c r="B136" s="3" t="s">
        <v>79</v>
      </c>
      <c r="C136" s="3" t="s">
        <v>327</v>
      </c>
      <c r="D136" s="2" t="n">
        <v>2025</v>
      </c>
      <c r="E136" s="2" t="n">
        <v>2028</v>
      </c>
      <c r="F136" s="2" t="n">
        <v>6435</v>
      </c>
      <c r="G136" s="2" t="n">
        <v>79</v>
      </c>
      <c r="H136" s="8" t="n">
        <v>12.2766122766123</v>
      </c>
      <c r="I136" s="2" t="n">
        <v>14</v>
      </c>
      <c r="J136" s="2" t="n">
        <v>29</v>
      </c>
      <c r="K136" s="2" t="n">
        <f aca="false">IF(H136&lt;=PERCENTILE($H$2:$H$230,설명!$B$26),1,0)</f>
        <v>1</v>
      </c>
      <c r="L136" s="2" t="n">
        <f aca="false">IF(I136=0,1,0)</f>
        <v>0</v>
      </c>
      <c r="M136" s="2" t="n">
        <f aca="false">L136</f>
        <v>0</v>
      </c>
      <c r="N136" s="9" t="n">
        <v>0.1786</v>
      </c>
      <c r="O136" s="2" t="n">
        <f aca="false">RANK(N136,$N$2:$N$230,0)</f>
        <v>135</v>
      </c>
      <c r="P136" s="2" t="n">
        <f aca="false">IF(O136&lt;=설명!$B$25,1,0)</f>
        <v>0</v>
      </c>
      <c r="Q136" s="2" t="str">
        <f aca="false">IF(AND(M136=1,P136=1),"① 최우선 지원",IF(P136=1,"② 예방 대상",IF(M136=1,"③ 구조적 공백","④ 관찰")))</f>
        <v>④ 관찰</v>
      </c>
      <c r="R136" s="9" t="n">
        <v>0.1296</v>
      </c>
      <c r="S136" s="2" t="n">
        <f aca="false">RANK(R136,$R$2:$R$230,0)</f>
        <v>169</v>
      </c>
    </row>
    <row r="137" customFormat="false" ht="15" hidden="false" customHeight="false" outlineLevel="0" collapsed="false">
      <c r="A137" s="2" t="s">
        <v>354</v>
      </c>
      <c r="B137" s="3" t="s">
        <v>135</v>
      </c>
      <c r="C137" s="3" t="s">
        <v>355</v>
      </c>
      <c r="D137" s="2" t="n">
        <v>2025</v>
      </c>
      <c r="E137" s="2" t="n">
        <v>2028</v>
      </c>
      <c r="F137" s="2" t="n">
        <v>259</v>
      </c>
      <c r="G137" s="2" t="n">
        <v>4</v>
      </c>
      <c r="H137" s="8" t="n">
        <v>15.4440154440155</v>
      </c>
      <c r="I137" s="2" t="n">
        <v>0</v>
      </c>
      <c r="J137" s="2" t="n">
        <v>0</v>
      </c>
      <c r="K137" s="2" t="n">
        <f aca="false">IF(H137&lt;=PERCENTILE($H$2:$H$230,설명!$B$26),1,0)</f>
        <v>0</v>
      </c>
      <c r="L137" s="2" t="n">
        <f aca="false">IF(I137=0,1,0)</f>
        <v>1</v>
      </c>
      <c r="M137" s="2" t="n">
        <f aca="false">L137</f>
        <v>1</v>
      </c>
      <c r="N137" s="9" t="n">
        <v>0.1781</v>
      </c>
      <c r="O137" s="2" t="n">
        <f aca="false">RANK(N137,$N$2:$N$230,0)</f>
        <v>136</v>
      </c>
      <c r="P137" s="2" t="n">
        <f aca="false">IF(O137&lt;=설명!$B$25,1,0)</f>
        <v>0</v>
      </c>
      <c r="Q137" s="2" t="str">
        <f aca="false">IF(AND(M137=1,P137=1),"① 최우선 지원",IF(P137=1,"② 예방 대상",IF(M137=1,"③ 구조적 공백","④ 관찰")))</f>
        <v>③ 구조적 공백</v>
      </c>
      <c r="R137" s="9" t="n">
        <v>0.2008</v>
      </c>
      <c r="S137" s="2" t="n">
        <f aca="false">RANK(R137,$R$2:$R$230,0)</f>
        <v>126</v>
      </c>
    </row>
    <row r="138" customFormat="false" ht="15" hidden="false" customHeight="false" outlineLevel="0" collapsed="false">
      <c r="A138" s="2" t="s">
        <v>433</v>
      </c>
      <c r="B138" s="3" t="s">
        <v>120</v>
      </c>
      <c r="C138" s="3" t="s">
        <v>434</v>
      </c>
      <c r="D138" s="2" t="n">
        <v>2025</v>
      </c>
      <c r="E138" s="2" t="n">
        <v>2028</v>
      </c>
      <c r="F138" s="2" t="n">
        <v>9845</v>
      </c>
      <c r="G138" s="2" t="n">
        <v>159</v>
      </c>
      <c r="H138" s="8" t="n">
        <v>16.1503301168106</v>
      </c>
      <c r="I138" s="2" t="n">
        <v>17</v>
      </c>
      <c r="J138" s="2" t="n">
        <v>33</v>
      </c>
      <c r="K138" s="2" t="n">
        <f aca="false">IF(H138&lt;=PERCENTILE($H$2:$H$230,설명!$B$26),1,0)</f>
        <v>0</v>
      </c>
      <c r="L138" s="2" t="n">
        <f aca="false">IF(I138=0,1,0)</f>
        <v>0</v>
      </c>
      <c r="M138" s="2" t="n">
        <f aca="false">L138</f>
        <v>0</v>
      </c>
      <c r="N138" s="9" t="n">
        <v>0.1762</v>
      </c>
      <c r="O138" s="2" t="n">
        <f aca="false">RANK(N138,$N$2:$N$230,0)</f>
        <v>137</v>
      </c>
      <c r="P138" s="2" t="n">
        <f aca="false">IF(O138&lt;=설명!$B$25,1,0)</f>
        <v>0</v>
      </c>
      <c r="Q138" s="2" t="str">
        <f aca="false">IF(AND(M138=1,P138=1),"① 최우선 지원",IF(P138=1,"② 예방 대상",IF(M138=1,"③ 구조적 공백","④ 관찰")))</f>
        <v>④ 관찰</v>
      </c>
      <c r="R138" s="9" t="n">
        <v>0.1347</v>
      </c>
      <c r="S138" s="2" t="n">
        <f aca="false">RANK(R138,$R$2:$R$230,0)</f>
        <v>164</v>
      </c>
    </row>
    <row r="139" customFormat="false" ht="15" hidden="false" customHeight="false" outlineLevel="0" collapsed="false">
      <c r="A139" s="2" t="s">
        <v>241</v>
      </c>
      <c r="B139" s="3" t="s">
        <v>79</v>
      </c>
      <c r="C139" s="3" t="s">
        <v>242</v>
      </c>
      <c r="D139" s="2" t="n">
        <v>2025</v>
      </c>
      <c r="E139" s="2" t="n">
        <v>2028</v>
      </c>
      <c r="F139" s="2" t="n">
        <v>9692</v>
      </c>
      <c r="G139" s="2" t="n">
        <v>143</v>
      </c>
      <c r="H139" s="8" t="n">
        <v>14.7544366487825</v>
      </c>
      <c r="I139" s="2" t="n">
        <v>22</v>
      </c>
      <c r="J139" s="2" t="n">
        <v>76</v>
      </c>
      <c r="K139" s="2" t="n">
        <f aca="false">IF(H139&lt;=PERCENTILE($H$2:$H$230,설명!$B$26),1,0)</f>
        <v>1</v>
      </c>
      <c r="L139" s="2" t="n">
        <f aca="false">IF(I139=0,1,0)</f>
        <v>0</v>
      </c>
      <c r="M139" s="2" t="n">
        <f aca="false">L139</f>
        <v>0</v>
      </c>
      <c r="N139" s="9" t="n">
        <v>0.1761</v>
      </c>
      <c r="O139" s="2" t="n">
        <f aca="false">RANK(N139,$N$2:$N$230,0)</f>
        <v>138</v>
      </c>
      <c r="P139" s="2" t="n">
        <f aca="false">IF(O139&lt;=설명!$B$25,1,0)</f>
        <v>0</v>
      </c>
      <c r="Q139" s="2" t="str">
        <f aca="false">IF(AND(M139=1,P139=1),"① 최우선 지원",IF(P139=1,"② 예방 대상",IF(M139=1,"③ 구조적 공백","④ 관찰")))</f>
        <v>④ 관찰</v>
      </c>
      <c r="R139" s="9" t="n">
        <v>0.1064</v>
      </c>
      <c r="S139" s="2" t="n">
        <f aca="false">RANK(R139,$R$2:$R$230,0)</f>
        <v>196</v>
      </c>
    </row>
    <row r="140" customFormat="false" ht="15" hidden="false" customHeight="false" outlineLevel="0" collapsed="false">
      <c r="A140" s="2" t="s">
        <v>290</v>
      </c>
      <c r="B140" s="3" t="s">
        <v>66</v>
      </c>
      <c r="C140" s="3" t="s">
        <v>291</v>
      </c>
      <c r="D140" s="2" t="n">
        <v>2025</v>
      </c>
      <c r="E140" s="2" t="n">
        <v>2028</v>
      </c>
      <c r="F140" s="2" t="n">
        <v>39042</v>
      </c>
      <c r="G140" s="2" t="n">
        <v>673</v>
      </c>
      <c r="H140" s="8" t="n">
        <v>17.2378464218022</v>
      </c>
      <c r="I140" s="2" t="n">
        <v>59</v>
      </c>
      <c r="J140" s="2" t="n">
        <v>181</v>
      </c>
      <c r="K140" s="2" t="n">
        <f aca="false">IF(H140&lt;=PERCENTILE($H$2:$H$230,설명!$B$26),1,0)</f>
        <v>0</v>
      </c>
      <c r="L140" s="2" t="n">
        <f aca="false">IF(I140=0,1,0)</f>
        <v>0</v>
      </c>
      <c r="M140" s="2" t="n">
        <f aca="false">L140</f>
        <v>0</v>
      </c>
      <c r="N140" s="9" t="n">
        <v>0.1737</v>
      </c>
      <c r="O140" s="2" t="n">
        <f aca="false">RANK(N140,$N$2:$N$230,0)</f>
        <v>139</v>
      </c>
      <c r="P140" s="2" t="n">
        <f aca="false">IF(O140&lt;=설명!$B$25,1,0)</f>
        <v>0</v>
      </c>
      <c r="Q140" s="2" t="str">
        <f aca="false">IF(AND(M140=1,P140=1),"① 최우선 지원",IF(P140=1,"② 예방 대상",IF(M140=1,"③ 구조적 공백","④ 관찰")))</f>
        <v>④ 관찰</v>
      </c>
      <c r="R140" s="9" t="n">
        <v>0.188</v>
      </c>
      <c r="S140" s="2" t="n">
        <f aca="false">RANK(R140,$R$2:$R$230,0)</f>
        <v>133</v>
      </c>
    </row>
    <row r="141" customFormat="false" ht="15" hidden="false" customHeight="false" outlineLevel="0" collapsed="false">
      <c r="A141" s="2" t="s">
        <v>115</v>
      </c>
      <c r="B141" s="3" t="s">
        <v>54</v>
      </c>
      <c r="C141" s="3" t="s">
        <v>116</v>
      </c>
      <c r="D141" s="2" t="n">
        <v>2025</v>
      </c>
      <c r="E141" s="2" t="n">
        <v>2028</v>
      </c>
      <c r="F141" s="2" t="n">
        <v>10568</v>
      </c>
      <c r="G141" s="2" t="n">
        <v>168</v>
      </c>
      <c r="H141" s="8" t="n">
        <v>15.8970476911431</v>
      </c>
      <c r="I141" s="2" t="n">
        <v>17</v>
      </c>
      <c r="J141" s="2" t="n">
        <v>44</v>
      </c>
      <c r="K141" s="2" t="n">
        <f aca="false">IF(H141&lt;=PERCENTILE($H$2:$H$230,설명!$B$26),1,0)</f>
        <v>0</v>
      </c>
      <c r="L141" s="2" t="n">
        <f aca="false">IF(I141=0,1,0)</f>
        <v>0</v>
      </c>
      <c r="M141" s="2" t="n">
        <f aca="false">L141</f>
        <v>0</v>
      </c>
      <c r="N141" s="9" t="n">
        <v>0.1732</v>
      </c>
      <c r="O141" s="2" t="n">
        <f aca="false">RANK(N141,$N$2:$N$230,0)</f>
        <v>140</v>
      </c>
      <c r="P141" s="2" t="n">
        <f aca="false">IF(O141&lt;=설명!$B$25,1,0)</f>
        <v>0</v>
      </c>
      <c r="Q141" s="2" t="str">
        <f aca="false">IF(AND(M141=1,P141=1),"① 최우선 지원",IF(P141=1,"② 예방 대상",IF(M141=1,"③ 구조적 공백","④ 관찰")))</f>
        <v>④ 관찰</v>
      </c>
      <c r="R141" s="9" t="n">
        <v>0.1333</v>
      </c>
      <c r="S141" s="2" t="n">
        <f aca="false">RANK(R141,$R$2:$R$230,0)</f>
        <v>166</v>
      </c>
    </row>
    <row r="142" customFormat="false" ht="15" hidden="false" customHeight="false" outlineLevel="0" collapsed="false">
      <c r="A142" s="2" t="s">
        <v>270</v>
      </c>
      <c r="B142" s="3" t="s">
        <v>204</v>
      </c>
      <c r="C142" s="3" t="s">
        <v>96</v>
      </c>
      <c r="D142" s="2" t="n">
        <v>2025</v>
      </c>
      <c r="E142" s="2" t="n">
        <v>2028</v>
      </c>
      <c r="F142" s="2" t="n">
        <v>658</v>
      </c>
      <c r="G142" s="2" t="n">
        <v>9</v>
      </c>
      <c r="H142" s="8" t="n">
        <v>13.677811550152</v>
      </c>
      <c r="I142" s="2" t="n">
        <v>0</v>
      </c>
      <c r="J142" s="2" t="n">
        <v>0</v>
      </c>
      <c r="K142" s="2" t="n">
        <f aca="false">IF(H142&lt;=PERCENTILE($H$2:$H$230,설명!$B$26),1,0)</f>
        <v>1</v>
      </c>
      <c r="L142" s="2" t="n">
        <f aca="false">IF(I142=0,1,0)</f>
        <v>1</v>
      </c>
      <c r="M142" s="2" t="n">
        <f aca="false">L142</f>
        <v>1</v>
      </c>
      <c r="N142" s="9" t="n">
        <v>0.1712</v>
      </c>
      <c r="O142" s="2" t="n">
        <f aca="false">RANK(N142,$N$2:$N$230,0)</f>
        <v>141</v>
      </c>
      <c r="P142" s="2" t="n">
        <f aca="false">IF(O142&lt;=설명!$B$25,1,0)</f>
        <v>0</v>
      </c>
      <c r="Q142" s="2" t="str">
        <f aca="false">IF(AND(M142=1,P142=1),"① 최우선 지원",IF(P142=1,"② 예방 대상",IF(M142=1,"③ 구조적 공백","④ 관찰")))</f>
        <v>③ 구조적 공백</v>
      </c>
      <c r="R142" s="9" t="n">
        <v>0.1535</v>
      </c>
      <c r="S142" s="2" t="n">
        <f aca="false">RANK(R142,$R$2:$R$230,0)</f>
        <v>150</v>
      </c>
    </row>
    <row r="143" customFormat="false" ht="15" hidden="false" customHeight="false" outlineLevel="0" collapsed="false">
      <c r="A143" s="2" t="s">
        <v>292</v>
      </c>
      <c r="B143" s="3" t="s">
        <v>204</v>
      </c>
      <c r="C143" s="3" t="s">
        <v>293</v>
      </c>
      <c r="D143" s="2" t="n">
        <v>2025</v>
      </c>
      <c r="E143" s="2" t="n">
        <v>2028</v>
      </c>
      <c r="F143" s="2" t="n">
        <v>544</v>
      </c>
      <c r="G143" s="2" t="n">
        <v>5</v>
      </c>
      <c r="H143" s="8" t="n">
        <v>9.19117647058824</v>
      </c>
      <c r="I143" s="2" t="n">
        <v>0</v>
      </c>
      <c r="J143" s="2" t="n">
        <v>0</v>
      </c>
      <c r="K143" s="2" t="n">
        <f aca="false">IF(H143&lt;=PERCENTILE($H$2:$H$230,설명!$B$26),1,0)</f>
        <v>1</v>
      </c>
      <c r="L143" s="2" t="n">
        <f aca="false">IF(I143=0,1,0)</f>
        <v>1</v>
      </c>
      <c r="M143" s="2" t="n">
        <f aca="false">L143</f>
        <v>1</v>
      </c>
      <c r="N143" s="9" t="n">
        <v>0.1686</v>
      </c>
      <c r="O143" s="2" t="n">
        <f aca="false">RANK(N143,$N$2:$N$230,0)</f>
        <v>142</v>
      </c>
      <c r="P143" s="2" t="n">
        <f aca="false">IF(O143&lt;=설명!$B$25,1,0)</f>
        <v>0</v>
      </c>
      <c r="Q143" s="2" t="str">
        <f aca="false">IF(AND(M143=1,P143=1),"① 최우선 지원",IF(P143=1,"② 예방 대상",IF(M143=1,"③ 구조적 공백","④ 관찰")))</f>
        <v>③ 구조적 공백</v>
      </c>
      <c r="R143" s="9" t="n">
        <v>0.1619</v>
      </c>
      <c r="S143" s="2" t="n">
        <f aca="false">RANK(R143,$R$2:$R$230,0)</f>
        <v>143</v>
      </c>
    </row>
    <row r="144" customFormat="false" ht="15" hidden="false" customHeight="false" outlineLevel="0" collapsed="false">
      <c r="A144" s="2" t="s">
        <v>370</v>
      </c>
      <c r="B144" s="3" t="s">
        <v>54</v>
      </c>
      <c r="C144" s="3" t="s">
        <v>371</v>
      </c>
      <c r="D144" s="2" t="n">
        <v>2025</v>
      </c>
      <c r="E144" s="2" t="n">
        <v>2028</v>
      </c>
      <c r="F144" s="2" t="n">
        <v>355</v>
      </c>
      <c r="G144" s="2" t="n">
        <v>6</v>
      </c>
      <c r="H144" s="8" t="n">
        <v>16.9014084507042</v>
      </c>
      <c r="I144" s="2" t="n">
        <v>0</v>
      </c>
      <c r="J144" s="2" t="n">
        <v>0</v>
      </c>
      <c r="K144" s="2" t="n">
        <f aca="false">IF(H144&lt;=PERCENTILE($H$2:$H$230,설명!$B$26),1,0)</f>
        <v>0</v>
      </c>
      <c r="L144" s="2" t="n">
        <f aca="false">IF(I144=0,1,0)</f>
        <v>1</v>
      </c>
      <c r="M144" s="2" t="n">
        <f aca="false">L144</f>
        <v>1</v>
      </c>
      <c r="N144" s="9" t="n">
        <v>0.1668</v>
      </c>
      <c r="O144" s="2" t="n">
        <f aca="false">RANK(N144,$N$2:$N$230,0)</f>
        <v>143</v>
      </c>
      <c r="P144" s="2" t="n">
        <f aca="false">IF(O144&lt;=설명!$B$25,1,0)</f>
        <v>0</v>
      </c>
      <c r="Q144" s="2" t="str">
        <f aca="false">IF(AND(M144=1,P144=1),"① 최우선 지원",IF(P144=1,"② 예방 대상",IF(M144=1,"③ 구조적 공백","④ 관찰")))</f>
        <v>③ 구조적 공백</v>
      </c>
      <c r="R144" s="9" t="n">
        <v>0.194</v>
      </c>
      <c r="S144" s="2" t="n">
        <f aca="false">RANK(R144,$R$2:$R$230,0)</f>
        <v>130</v>
      </c>
    </row>
    <row r="145" customFormat="false" ht="15" hidden="false" customHeight="false" outlineLevel="0" collapsed="false">
      <c r="A145" s="2" t="s">
        <v>379</v>
      </c>
      <c r="B145" s="3" t="s">
        <v>90</v>
      </c>
      <c r="C145" s="3" t="s">
        <v>380</v>
      </c>
      <c r="D145" s="2" t="n">
        <v>2025</v>
      </c>
      <c r="E145" s="2" t="n">
        <v>2028</v>
      </c>
      <c r="F145" s="2" t="n">
        <v>903</v>
      </c>
      <c r="G145" s="2" t="n">
        <v>12</v>
      </c>
      <c r="H145" s="8" t="n">
        <v>13.2890365448505</v>
      </c>
      <c r="I145" s="2" t="n">
        <v>0</v>
      </c>
      <c r="J145" s="2" t="n">
        <v>0</v>
      </c>
      <c r="K145" s="2" t="n">
        <f aca="false">IF(H145&lt;=PERCENTILE($H$2:$H$230,설명!$B$26),1,0)</f>
        <v>1</v>
      </c>
      <c r="L145" s="2" t="n">
        <f aca="false">IF(I145=0,1,0)</f>
        <v>1</v>
      </c>
      <c r="M145" s="2" t="n">
        <f aca="false">L145</f>
        <v>1</v>
      </c>
      <c r="N145" s="9" t="n">
        <v>0.1666</v>
      </c>
      <c r="O145" s="2" t="n">
        <f aca="false">RANK(N145,$N$2:$N$230,0)</f>
        <v>144</v>
      </c>
      <c r="P145" s="2" t="n">
        <f aca="false">IF(O145&lt;=설명!$B$25,1,0)</f>
        <v>0</v>
      </c>
      <c r="Q145" s="2" t="str">
        <f aca="false">IF(AND(M145=1,P145=1),"① 최우선 지원",IF(P145=1,"② 예방 대상",IF(M145=1,"③ 구조적 공백","④ 관찰")))</f>
        <v>③ 구조적 공백</v>
      </c>
      <c r="R145" s="9" t="n">
        <v>0.1524</v>
      </c>
      <c r="S145" s="2" t="n">
        <f aca="false">RANK(R145,$R$2:$R$230,0)</f>
        <v>151</v>
      </c>
    </row>
    <row r="146" customFormat="false" ht="15" hidden="false" customHeight="false" outlineLevel="0" collapsed="false">
      <c r="A146" s="2" t="s">
        <v>182</v>
      </c>
      <c r="B146" s="3" t="s">
        <v>79</v>
      </c>
      <c r="C146" s="3" t="s">
        <v>183</v>
      </c>
      <c r="D146" s="2" t="n">
        <v>2025</v>
      </c>
      <c r="E146" s="2" t="n">
        <v>2028</v>
      </c>
      <c r="F146" s="2" t="n">
        <v>8547</v>
      </c>
      <c r="G146" s="2" t="n">
        <v>114</v>
      </c>
      <c r="H146" s="8" t="n">
        <v>13.3380133380133</v>
      </c>
      <c r="I146" s="2" t="n">
        <v>7</v>
      </c>
      <c r="J146" s="2" t="n">
        <v>19</v>
      </c>
      <c r="K146" s="2" t="n">
        <f aca="false">IF(H146&lt;=PERCENTILE($H$2:$H$230,설명!$B$26),1,0)</f>
        <v>1</v>
      </c>
      <c r="L146" s="2" t="n">
        <f aca="false">IF(I146=0,1,0)</f>
        <v>0</v>
      </c>
      <c r="M146" s="2" t="n">
        <f aca="false">L146</f>
        <v>0</v>
      </c>
      <c r="N146" s="9" t="n">
        <v>0.1663</v>
      </c>
      <c r="O146" s="2" t="n">
        <f aca="false">RANK(N146,$N$2:$N$230,0)</f>
        <v>145</v>
      </c>
      <c r="P146" s="2" t="n">
        <f aca="false">IF(O146&lt;=설명!$B$25,1,0)</f>
        <v>0</v>
      </c>
      <c r="Q146" s="2" t="str">
        <f aca="false">IF(AND(M146=1,P146=1),"① 최우선 지원",IF(P146=1,"② 예방 대상",IF(M146=1,"③ 구조적 공백","④ 관찰")))</f>
        <v>④ 관찰</v>
      </c>
      <c r="R146" s="9" t="n">
        <v>0.1184</v>
      </c>
      <c r="S146" s="2" t="n">
        <f aca="false">RANK(R146,$R$2:$R$230,0)</f>
        <v>182</v>
      </c>
    </row>
    <row r="147" customFormat="false" ht="15" hidden="false" customHeight="false" outlineLevel="0" collapsed="false">
      <c r="A147" s="2" t="s">
        <v>298</v>
      </c>
      <c r="B147" s="3" t="s">
        <v>76</v>
      </c>
      <c r="C147" s="3" t="s">
        <v>299</v>
      </c>
      <c r="D147" s="2" t="n">
        <v>2025</v>
      </c>
      <c r="E147" s="2" t="n">
        <v>2028</v>
      </c>
      <c r="F147" s="2" t="n">
        <v>202</v>
      </c>
      <c r="G147" s="2" t="n">
        <v>5</v>
      </c>
      <c r="H147" s="8" t="n">
        <v>24.7524752475248</v>
      </c>
      <c r="I147" s="2" t="n">
        <v>0</v>
      </c>
      <c r="J147" s="2" t="n">
        <v>0</v>
      </c>
      <c r="K147" s="2" t="n">
        <f aca="false">IF(H147&lt;=PERCENTILE($H$2:$H$230,설명!$B$26),1,0)</f>
        <v>0</v>
      </c>
      <c r="L147" s="2" t="n">
        <f aca="false">IF(I147=0,1,0)</f>
        <v>1</v>
      </c>
      <c r="M147" s="2" t="n">
        <f aca="false">L147</f>
        <v>1</v>
      </c>
      <c r="N147" s="9" t="n">
        <v>0.1663</v>
      </c>
      <c r="O147" s="2" t="n">
        <f aca="false">RANK(N147,$N$2:$N$230,0)</f>
        <v>145</v>
      </c>
      <c r="P147" s="2" t="n">
        <f aca="false">IF(O147&lt;=설명!$B$25,1,0)</f>
        <v>0</v>
      </c>
      <c r="Q147" s="2" t="str">
        <f aca="false">IF(AND(M147=1,P147=1),"① 최우선 지원",IF(P147=1,"② 예방 대상",IF(M147=1,"③ 구조적 공백","④ 관찰")))</f>
        <v>③ 구조적 공백</v>
      </c>
      <c r="R147" s="9" t="n">
        <v>0.2192</v>
      </c>
      <c r="S147" s="2" t="n">
        <f aca="false">RANK(R147,$R$2:$R$230,0)</f>
        <v>116</v>
      </c>
    </row>
    <row r="148" customFormat="false" ht="15" hidden="false" customHeight="false" outlineLevel="0" collapsed="false">
      <c r="A148" s="2" t="s">
        <v>402</v>
      </c>
      <c r="B148" s="3" t="s">
        <v>204</v>
      </c>
      <c r="C148" s="3" t="s">
        <v>403</v>
      </c>
      <c r="D148" s="2" t="n">
        <v>2025</v>
      </c>
      <c r="E148" s="2" t="n">
        <v>2028</v>
      </c>
      <c r="F148" s="2" t="n">
        <v>758</v>
      </c>
      <c r="G148" s="2" t="n">
        <v>18</v>
      </c>
      <c r="H148" s="8" t="n">
        <v>23.7467018469657</v>
      </c>
      <c r="I148" s="2" t="n">
        <v>1</v>
      </c>
      <c r="J148" s="2" t="n">
        <v>2</v>
      </c>
      <c r="K148" s="2" t="n">
        <f aca="false">IF(H148&lt;=PERCENTILE($H$2:$H$230,설명!$B$26),1,0)</f>
        <v>0</v>
      </c>
      <c r="L148" s="2" t="n">
        <f aca="false">IF(I148=0,1,0)</f>
        <v>0</v>
      </c>
      <c r="M148" s="2" t="n">
        <f aca="false">L148</f>
        <v>0</v>
      </c>
      <c r="N148" s="9" t="n">
        <v>0.164</v>
      </c>
      <c r="O148" s="2" t="n">
        <f aca="false">RANK(N148,$N$2:$N$230,0)</f>
        <v>147</v>
      </c>
      <c r="P148" s="2" t="n">
        <f aca="false">IF(O148&lt;=설명!$B$25,1,0)</f>
        <v>0</v>
      </c>
      <c r="Q148" s="2" t="str">
        <f aca="false">IF(AND(M148=1,P148=1),"① 최우선 지원",IF(P148=1,"② 예방 대상",IF(M148=1,"③ 구조적 공백","④ 관찰")))</f>
        <v>④ 관찰</v>
      </c>
      <c r="R148" s="9" t="n">
        <v>0.1721</v>
      </c>
      <c r="S148" s="2" t="n">
        <f aca="false">RANK(R148,$R$2:$R$230,0)</f>
        <v>140</v>
      </c>
    </row>
    <row r="149" customFormat="false" ht="15" hidden="false" customHeight="false" outlineLevel="0" collapsed="false">
      <c r="A149" s="2" t="s">
        <v>328</v>
      </c>
      <c r="B149" s="3" t="s">
        <v>66</v>
      </c>
      <c r="C149" s="3" t="s">
        <v>329</v>
      </c>
      <c r="D149" s="2" t="n">
        <v>2025</v>
      </c>
      <c r="E149" s="2" t="n">
        <v>2028</v>
      </c>
      <c r="F149" s="2" t="n">
        <v>13789</v>
      </c>
      <c r="G149" s="2" t="n">
        <v>236</v>
      </c>
      <c r="H149" s="8" t="n">
        <v>17.1150917397926</v>
      </c>
      <c r="I149" s="2" t="n">
        <v>19</v>
      </c>
      <c r="J149" s="2" t="n">
        <v>37</v>
      </c>
      <c r="K149" s="2" t="n">
        <f aca="false">IF(H149&lt;=PERCENTILE($H$2:$H$230,설명!$B$26),1,0)</f>
        <v>0</v>
      </c>
      <c r="L149" s="2" t="n">
        <f aca="false">IF(I149=0,1,0)</f>
        <v>0</v>
      </c>
      <c r="M149" s="2" t="n">
        <f aca="false">L149</f>
        <v>0</v>
      </c>
      <c r="N149" s="9" t="n">
        <v>0.1624</v>
      </c>
      <c r="O149" s="2" t="n">
        <f aca="false">RANK(N149,$N$2:$N$230,0)</f>
        <v>148</v>
      </c>
      <c r="P149" s="2" t="n">
        <f aca="false">IF(O149&lt;=설명!$B$25,1,0)</f>
        <v>0</v>
      </c>
      <c r="Q149" s="2" t="str">
        <f aca="false">IF(AND(M149=1,P149=1),"① 최우선 지원",IF(P149=1,"② 예방 대상",IF(M149=1,"③ 구조적 공백","④ 관찰")))</f>
        <v>④ 관찰</v>
      </c>
      <c r="R149" s="9" t="n">
        <v>0.1842</v>
      </c>
      <c r="S149" s="2" t="n">
        <f aca="false">RANK(R149,$R$2:$R$230,0)</f>
        <v>135</v>
      </c>
    </row>
    <row r="150" customFormat="false" ht="15" hidden="false" customHeight="false" outlineLevel="0" collapsed="false">
      <c r="A150" s="2" t="s">
        <v>399</v>
      </c>
      <c r="B150" s="3" t="s">
        <v>93</v>
      </c>
      <c r="C150" s="3" t="s">
        <v>114</v>
      </c>
      <c r="D150" s="2" t="n">
        <v>2025</v>
      </c>
      <c r="E150" s="2" t="n">
        <v>2028</v>
      </c>
      <c r="F150" s="2" t="n">
        <v>3694</v>
      </c>
      <c r="G150" s="2" t="n">
        <v>52</v>
      </c>
      <c r="H150" s="8" t="n">
        <v>14.0768814293449</v>
      </c>
      <c r="I150" s="2" t="n">
        <v>6</v>
      </c>
      <c r="J150" s="2" t="n">
        <v>36</v>
      </c>
      <c r="K150" s="2" t="n">
        <f aca="false">IF(H150&lt;=PERCENTILE($H$2:$H$230,설명!$B$26),1,0)</f>
        <v>1</v>
      </c>
      <c r="L150" s="2" t="n">
        <f aca="false">IF(I150=0,1,0)</f>
        <v>0</v>
      </c>
      <c r="M150" s="2" t="n">
        <f aca="false">L150</f>
        <v>0</v>
      </c>
      <c r="N150" s="9" t="n">
        <v>0.1587</v>
      </c>
      <c r="O150" s="2" t="n">
        <f aca="false">RANK(N150,$N$2:$N$230,0)</f>
        <v>149</v>
      </c>
      <c r="P150" s="2" t="n">
        <f aca="false">IF(O150&lt;=설명!$B$25,1,0)</f>
        <v>0</v>
      </c>
      <c r="Q150" s="2" t="str">
        <f aca="false">IF(AND(M150=1,P150=1),"① 최우선 지원",IF(P150=1,"② 예방 대상",IF(M150=1,"③ 구조적 공백","④ 관찰")))</f>
        <v>④ 관찰</v>
      </c>
      <c r="R150" s="9" t="n">
        <v>0.167</v>
      </c>
      <c r="S150" s="2" t="n">
        <f aca="false">RANK(R150,$R$2:$R$230,0)</f>
        <v>142</v>
      </c>
    </row>
    <row r="151" customFormat="false" ht="15" hidden="false" customHeight="false" outlineLevel="0" collapsed="false">
      <c r="A151" s="2" t="s">
        <v>372</v>
      </c>
      <c r="B151" s="3" t="s">
        <v>54</v>
      </c>
      <c r="C151" s="3" t="s">
        <v>373</v>
      </c>
      <c r="D151" s="2" t="n">
        <v>2025</v>
      </c>
      <c r="E151" s="2" t="n">
        <v>2028</v>
      </c>
      <c r="F151" s="2" t="n">
        <v>471</v>
      </c>
      <c r="G151" s="2" t="n">
        <v>9</v>
      </c>
      <c r="H151" s="8" t="n">
        <v>19.1082802547771</v>
      </c>
      <c r="I151" s="2" t="n">
        <v>0</v>
      </c>
      <c r="J151" s="2" t="n">
        <v>1</v>
      </c>
      <c r="K151" s="2" t="n">
        <f aca="false">IF(H151&lt;=PERCENTILE($H$2:$H$230,설명!$B$26),1,0)</f>
        <v>0</v>
      </c>
      <c r="L151" s="2" t="n">
        <f aca="false">IF(I151=0,1,0)</f>
        <v>1</v>
      </c>
      <c r="M151" s="2" t="n">
        <f aca="false">L151</f>
        <v>1</v>
      </c>
      <c r="N151" s="9" t="n">
        <v>0.1582</v>
      </c>
      <c r="O151" s="2" t="n">
        <f aca="false">RANK(N151,$N$2:$N$230,0)</f>
        <v>150</v>
      </c>
      <c r="P151" s="2" t="n">
        <f aca="false">IF(O151&lt;=설명!$B$25,1,0)</f>
        <v>0</v>
      </c>
      <c r="Q151" s="2" t="str">
        <f aca="false">IF(AND(M151=1,P151=1),"① 최우선 지원",IF(P151=1,"② 예방 대상",IF(M151=1,"③ 구조적 공백","④ 관찰")))</f>
        <v>③ 구조적 공백</v>
      </c>
      <c r="R151" s="9" t="n">
        <v>0.1604</v>
      </c>
      <c r="S151" s="2" t="n">
        <f aca="false">RANK(R151,$R$2:$R$230,0)</f>
        <v>145</v>
      </c>
    </row>
    <row r="152" customFormat="false" ht="15" hidden="false" customHeight="false" outlineLevel="0" collapsed="false">
      <c r="A152" s="2" t="s">
        <v>397</v>
      </c>
      <c r="B152" s="3" t="s">
        <v>343</v>
      </c>
      <c r="C152" s="3" t="s">
        <v>398</v>
      </c>
      <c r="D152" s="2" t="n">
        <v>2025</v>
      </c>
      <c r="E152" s="2" t="n">
        <v>2028</v>
      </c>
      <c r="F152" s="2" t="n">
        <v>4998</v>
      </c>
      <c r="G152" s="2" t="n">
        <v>100</v>
      </c>
      <c r="H152" s="8" t="n">
        <v>20.0080032012805</v>
      </c>
      <c r="I152" s="2" t="n">
        <v>7</v>
      </c>
      <c r="J152" s="2" t="n">
        <v>11</v>
      </c>
      <c r="K152" s="2" t="n">
        <f aca="false">IF(H152&lt;=PERCENTILE($H$2:$H$230,설명!$B$26),1,0)</f>
        <v>0</v>
      </c>
      <c r="L152" s="2" t="n">
        <f aca="false">IF(I152=0,1,0)</f>
        <v>0</v>
      </c>
      <c r="M152" s="2" t="n">
        <f aca="false">L152</f>
        <v>0</v>
      </c>
      <c r="N152" s="9" t="n">
        <v>0.1573</v>
      </c>
      <c r="O152" s="2" t="n">
        <f aca="false">RANK(N152,$N$2:$N$230,0)</f>
        <v>151</v>
      </c>
      <c r="P152" s="2" t="n">
        <f aca="false">IF(O152&lt;=설명!$B$25,1,0)</f>
        <v>0</v>
      </c>
      <c r="Q152" s="2" t="str">
        <f aca="false">IF(AND(M152=1,P152=1),"① 최우선 지원",IF(P152=1,"② 예방 대상",IF(M152=1,"③ 구조적 공백","④ 관찰")))</f>
        <v>④ 관찰</v>
      </c>
      <c r="R152" s="9" t="n">
        <v>0.1809</v>
      </c>
      <c r="S152" s="2" t="n">
        <f aca="false">RANK(R152,$R$2:$R$230,0)</f>
        <v>136</v>
      </c>
    </row>
    <row r="153" customFormat="false" ht="15" hidden="false" customHeight="false" outlineLevel="0" collapsed="false">
      <c r="A153" s="2" t="s">
        <v>334</v>
      </c>
      <c r="B153" s="3" t="s">
        <v>90</v>
      </c>
      <c r="C153" s="3" t="s">
        <v>335</v>
      </c>
      <c r="D153" s="2" t="n">
        <v>2025</v>
      </c>
      <c r="E153" s="2" t="n">
        <v>2028</v>
      </c>
      <c r="F153" s="2" t="n">
        <v>2182</v>
      </c>
      <c r="G153" s="2" t="n">
        <v>16</v>
      </c>
      <c r="H153" s="8" t="n">
        <v>7.33272227314391</v>
      </c>
      <c r="I153" s="2" t="n">
        <v>0</v>
      </c>
      <c r="J153" s="2" t="n">
        <v>3</v>
      </c>
      <c r="K153" s="2" t="n">
        <f aca="false">IF(H153&lt;=PERCENTILE($H$2:$H$230,설명!$B$26),1,0)</f>
        <v>1</v>
      </c>
      <c r="L153" s="2" t="n">
        <f aca="false">IF(I153=0,1,0)</f>
        <v>1</v>
      </c>
      <c r="M153" s="2" t="n">
        <f aca="false">L153</f>
        <v>1</v>
      </c>
      <c r="N153" s="9" t="n">
        <v>0.156</v>
      </c>
      <c r="O153" s="2" t="n">
        <f aca="false">RANK(N153,$N$2:$N$230,0)</f>
        <v>152</v>
      </c>
      <c r="P153" s="2" t="n">
        <f aca="false">IF(O153&lt;=설명!$B$25,1,0)</f>
        <v>0</v>
      </c>
      <c r="Q153" s="2" t="str">
        <f aca="false">IF(AND(M153=1,P153=1),"① 최우선 지원",IF(P153=1,"② 예방 대상",IF(M153=1,"③ 구조적 공백","④ 관찰")))</f>
        <v>③ 구조적 공백</v>
      </c>
      <c r="R153" s="9" t="n">
        <v>0.1611</v>
      </c>
      <c r="S153" s="2" t="n">
        <f aca="false">RANK(R153,$R$2:$R$230,0)</f>
        <v>144</v>
      </c>
    </row>
    <row r="154" customFormat="false" ht="15" hidden="false" customHeight="false" outlineLevel="0" collapsed="false">
      <c r="A154" s="2" t="s">
        <v>395</v>
      </c>
      <c r="B154" s="3" t="s">
        <v>66</v>
      </c>
      <c r="C154" s="3" t="s">
        <v>396</v>
      </c>
      <c r="D154" s="2" t="n">
        <v>2025</v>
      </c>
      <c r="E154" s="2" t="n">
        <v>2028</v>
      </c>
      <c r="F154" s="2" t="n">
        <v>32347</v>
      </c>
      <c r="G154" s="2" t="n">
        <v>519</v>
      </c>
      <c r="H154" s="8" t="n">
        <v>16.0447645840418</v>
      </c>
      <c r="I154" s="2" t="n">
        <v>53</v>
      </c>
      <c r="J154" s="2" t="n">
        <v>144</v>
      </c>
      <c r="K154" s="2" t="n">
        <f aca="false">IF(H154&lt;=PERCENTILE($H$2:$H$230,설명!$B$26),1,0)</f>
        <v>0</v>
      </c>
      <c r="L154" s="2" t="n">
        <f aca="false">IF(I154=0,1,0)</f>
        <v>0</v>
      </c>
      <c r="M154" s="2" t="n">
        <f aca="false">L154</f>
        <v>0</v>
      </c>
      <c r="N154" s="9" t="n">
        <v>0.1525</v>
      </c>
      <c r="O154" s="2" t="n">
        <f aca="false">RANK(N154,$N$2:$N$230,0)</f>
        <v>153</v>
      </c>
      <c r="P154" s="2" t="n">
        <f aca="false">IF(O154&lt;=설명!$B$25,1,0)</f>
        <v>0</v>
      </c>
      <c r="Q154" s="2" t="str">
        <f aca="false">IF(AND(M154=1,P154=1),"① 최우선 지원",IF(P154=1,"② 예방 대상",IF(M154=1,"③ 구조적 공백","④ 관찰")))</f>
        <v>④ 관찰</v>
      </c>
      <c r="R154" s="9" t="n">
        <v>0.1578</v>
      </c>
      <c r="S154" s="2" t="n">
        <f aca="false">RANK(R154,$R$2:$R$230,0)</f>
        <v>147</v>
      </c>
    </row>
    <row r="155" customFormat="false" ht="15" hidden="false" customHeight="false" outlineLevel="0" collapsed="false">
      <c r="A155" s="2" t="s">
        <v>366</v>
      </c>
      <c r="B155" s="3" t="s">
        <v>120</v>
      </c>
      <c r="C155" s="3" t="s">
        <v>367</v>
      </c>
      <c r="D155" s="2" t="n">
        <v>2025</v>
      </c>
      <c r="E155" s="2" t="n">
        <v>2028</v>
      </c>
      <c r="F155" s="2" t="n">
        <v>10997</v>
      </c>
      <c r="G155" s="2" t="n">
        <v>181</v>
      </c>
      <c r="H155" s="8" t="n">
        <v>16.4590342820769</v>
      </c>
      <c r="I155" s="2" t="n">
        <v>19</v>
      </c>
      <c r="J155" s="2" t="n">
        <v>50</v>
      </c>
      <c r="K155" s="2" t="n">
        <f aca="false">IF(H155&lt;=PERCENTILE($H$2:$H$230,설명!$B$26),1,0)</f>
        <v>0</v>
      </c>
      <c r="L155" s="2" t="n">
        <f aca="false">IF(I155=0,1,0)</f>
        <v>0</v>
      </c>
      <c r="M155" s="2" t="n">
        <f aca="false">L155</f>
        <v>0</v>
      </c>
      <c r="N155" s="9" t="n">
        <v>0.1507</v>
      </c>
      <c r="O155" s="2" t="n">
        <f aca="false">RANK(N155,$N$2:$N$230,0)</f>
        <v>154</v>
      </c>
      <c r="P155" s="2" t="n">
        <f aca="false">IF(O155&lt;=설명!$B$25,1,0)</f>
        <v>0</v>
      </c>
      <c r="Q155" s="2" t="str">
        <f aca="false">IF(AND(M155=1,P155=1),"① 최우선 지원",IF(P155=1,"② 예방 대상",IF(M155=1,"③ 구조적 공백","④ 관찰")))</f>
        <v>④ 관찰</v>
      </c>
      <c r="R155" s="9" t="n">
        <v>0.1556</v>
      </c>
      <c r="S155" s="2" t="n">
        <f aca="false">RANK(R155,$R$2:$R$230,0)</f>
        <v>148</v>
      </c>
    </row>
    <row r="156" customFormat="false" ht="15" hidden="false" customHeight="false" outlineLevel="0" collapsed="false">
      <c r="A156" s="2" t="s">
        <v>393</v>
      </c>
      <c r="B156" s="3" t="s">
        <v>204</v>
      </c>
      <c r="C156" s="3" t="s">
        <v>394</v>
      </c>
      <c r="D156" s="2" t="n">
        <v>2025</v>
      </c>
      <c r="E156" s="2" t="n">
        <v>2028</v>
      </c>
      <c r="F156" s="2" t="n">
        <v>12637</v>
      </c>
      <c r="G156" s="2" t="n">
        <v>209</v>
      </c>
      <c r="H156" s="8" t="n">
        <v>16.5387354593654</v>
      </c>
      <c r="I156" s="2" t="n">
        <v>20</v>
      </c>
      <c r="J156" s="2" t="n">
        <v>46</v>
      </c>
      <c r="K156" s="2" t="n">
        <f aca="false">IF(H156&lt;=PERCENTILE($H$2:$H$230,설명!$B$26),1,0)</f>
        <v>0</v>
      </c>
      <c r="L156" s="2" t="n">
        <f aca="false">IF(I156=0,1,0)</f>
        <v>0</v>
      </c>
      <c r="M156" s="2" t="n">
        <f aca="false">L156</f>
        <v>0</v>
      </c>
      <c r="N156" s="9" t="n">
        <v>0.15</v>
      </c>
      <c r="O156" s="2" t="n">
        <f aca="false">RANK(N156,$N$2:$N$230,0)</f>
        <v>155</v>
      </c>
      <c r="P156" s="2" t="n">
        <f aca="false">IF(O156&lt;=설명!$B$25,1,0)</f>
        <v>0</v>
      </c>
      <c r="Q156" s="2" t="str">
        <f aca="false">IF(AND(M156=1,P156=1),"① 최우선 지원",IF(P156=1,"② 예방 대상",IF(M156=1,"③ 구조적 공백","④ 관찰")))</f>
        <v>④ 관찰</v>
      </c>
      <c r="R156" s="9" t="n">
        <v>0.1179</v>
      </c>
      <c r="S156" s="2" t="n">
        <f aca="false">RANK(R156,$R$2:$R$230,0)</f>
        <v>184</v>
      </c>
    </row>
    <row r="157" customFormat="false" ht="15" hidden="false" customHeight="false" outlineLevel="0" collapsed="false">
      <c r="A157" s="2" t="s">
        <v>338</v>
      </c>
      <c r="B157" s="3" t="s">
        <v>120</v>
      </c>
      <c r="C157" s="3" t="s">
        <v>339</v>
      </c>
      <c r="D157" s="2" t="n">
        <v>2025</v>
      </c>
      <c r="E157" s="2" t="n">
        <v>2028</v>
      </c>
      <c r="F157" s="2" t="n">
        <v>9276</v>
      </c>
      <c r="G157" s="2" t="n">
        <v>161</v>
      </c>
      <c r="H157" s="8" t="n">
        <v>17.3566192324278</v>
      </c>
      <c r="I157" s="2" t="n">
        <v>16</v>
      </c>
      <c r="J157" s="2" t="n">
        <v>40</v>
      </c>
      <c r="K157" s="2" t="n">
        <f aca="false">IF(H157&lt;=PERCENTILE($H$2:$H$230,설명!$B$26),1,0)</f>
        <v>0</v>
      </c>
      <c r="L157" s="2" t="n">
        <f aca="false">IF(I157=0,1,0)</f>
        <v>0</v>
      </c>
      <c r="M157" s="2" t="n">
        <f aca="false">L157</f>
        <v>0</v>
      </c>
      <c r="N157" s="9" t="n">
        <v>0.1481</v>
      </c>
      <c r="O157" s="2" t="n">
        <f aca="false">RANK(N157,$N$2:$N$230,0)</f>
        <v>156</v>
      </c>
      <c r="P157" s="2" t="n">
        <f aca="false">IF(O157&lt;=설명!$B$25,1,0)</f>
        <v>0</v>
      </c>
      <c r="Q157" s="2" t="str">
        <f aca="false">IF(AND(M157=1,P157=1),"① 최우선 지원",IF(P157=1,"② 예방 대상",IF(M157=1,"③ 구조적 공백","④ 관찰")))</f>
        <v>④ 관찰</v>
      </c>
      <c r="R157" s="9" t="n">
        <v>0.1475</v>
      </c>
      <c r="S157" s="2" t="n">
        <f aca="false">RANK(R157,$R$2:$R$230,0)</f>
        <v>153</v>
      </c>
    </row>
    <row r="158" customFormat="false" ht="15" hidden="false" customHeight="false" outlineLevel="0" collapsed="false">
      <c r="A158" s="2" t="s">
        <v>447</v>
      </c>
      <c r="B158" s="3" t="s">
        <v>448</v>
      </c>
      <c r="C158" s="3" t="s">
        <v>448</v>
      </c>
      <c r="D158" s="2" t="n">
        <v>2025</v>
      </c>
      <c r="E158" s="2" t="n">
        <v>2028</v>
      </c>
      <c r="F158" s="2" t="n">
        <v>19402</v>
      </c>
      <c r="G158" s="2" t="n">
        <v>286</v>
      </c>
      <c r="H158" s="8" t="n">
        <v>14.740748376456</v>
      </c>
      <c r="I158" s="2" t="n">
        <v>26</v>
      </c>
      <c r="J158" s="2" t="n">
        <v>76</v>
      </c>
      <c r="K158" s="2" t="n">
        <f aca="false">IF(H158&lt;=PERCENTILE($H$2:$H$230,설명!$B$26),1,0)</f>
        <v>1</v>
      </c>
      <c r="L158" s="2" t="n">
        <f aca="false">IF(I158=0,1,0)</f>
        <v>0</v>
      </c>
      <c r="M158" s="2" t="n">
        <f aca="false">L158</f>
        <v>0</v>
      </c>
      <c r="N158" s="9" t="n">
        <v>0.1459</v>
      </c>
      <c r="O158" s="2" t="n">
        <f aca="false">RANK(N158,$N$2:$N$230,0)</f>
        <v>157</v>
      </c>
      <c r="P158" s="2" t="n">
        <f aca="false">IF(O158&lt;=설명!$B$25,1,0)</f>
        <v>0</v>
      </c>
      <c r="Q158" s="2" t="str">
        <f aca="false">IF(AND(M158=1,P158=1),"① 최우선 지원",IF(P158=1,"② 예방 대상",IF(M158=1,"③ 구조적 공백","④ 관찰")))</f>
        <v>④ 관찰</v>
      </c>
      <c r="R158" s="9" t="n">
        <v>0.1172</v>
      </c>
      <c r="S158" s="2" t="n">
        <f aca="false">RANK(R158,$R$2:$R$230,0)</f>
        <v>186</v>
      </c>
    </row>
    <row r="159" customFormat="false" ht="15" hidden="false" customHeight="false" outlineLevel="0" collapsed="false">
      <c r="A159" s="2" t="s">
        <v>134</v>
      </c>
      <c r="B159" s="3" t="s">
        <v>135</v>
      </c>
      <c r="C159" s="3" t="s">
        <v>136</v>
      </c>
      <c r="D159" s="2" t="n">
        <v>2025</v>
      </c>
      <c r="E159" s="2" t="n">
        <v>2028</v>
      </c>
      <c r="F159" s="2" t="n">
        <v>10964</v>
      </c>
      <c r="G159" s="2" t="n">
        <v>173</v>
      </c>
      <c r="H159" s="8" t="n">
        <v>15.7789128055454</v>
      </c>
      <c r="I159" s="2" t="n">
        <v>19</v>
      </c>
      <c r="J159" s="2" t="n">
        <v>78</v>
      </c>
      <c r="K159" s="2" t="n">
        <f aca="false">IF(H159&lt;=PERCENTILE($H$2:$H$230,설명!$B$26),1,0)</f>
        <v>0</v>
      </c>
      <c r="L159" s="2" t="n">
        <f aca="false">IF(I159=0,1,0)</f>
        <v>0</v>
      </c>
      <c r="M159" s="2" t="n">
        <f aca="false">L159</f>
        <v>0</v>
      </c>
      <c r="N159" s="9" t="n">
        <v>0.1458</v>
      </c>
      <c r="O159" s="2" t="n">
        <f aca="false">RANK(N159,$N$2:$N$230,0)</f>
        <v>158</v>
      </c>
      <c r="P159" s="2" t="n">
        <f aca="false">IF(O159&lt;=설명!$B$25,1,0)</f>
        <v>0</v>
      </c>
      <c r="Q159" s="2" t="str">
        <f aca="false">IF(AND(M159=1,P159=1),"① 최우선 지원",IF(P159=1,"② 예방 대상",IF(M159=1,"③ 구조적 공백","④ 관찰")))</f>
        <v>④ 관찰</v>
      </c>
      <c r="R159" s="9" t="n">
        <v>0.1337</v>
      </c>
      <c r="S159" s="2" t="n">
        <f aca="false">RANK(R159,$R$2:$R$230,0)</f>
        <v>165</v>
      </c>
    </row>
    <row r="160" customFormat="false" ht="15" hidden="false" customHeight="false" outlineLevel="0" collapsed="false">
      <c r="A160" s="2" t="s">
        <v>330</v>
      </c>
      <c r="B160" s="3" t="s">
        <v>135</v>
      </c>
      <c r="C160" s="3" t="s">
        <v>331</v>
      </c>
      <c r="D160" s="2" t="n">
        <v>2025</v>
      </c>
      <c r="E160" s="2" t="n">
        <v>2028</v>
      </c>
      <c r="F160" s="2" t="n">
        <v>13395</v>
      </c>
      <c r="G160" s="2" t="n">
        <v>217</v>
      </c>
      <c r="H160" s="8" t="n">
        <v>16.2000746547219</v>
      </c>
      <c r="I160" s="2" t="n">
        <v>26</v>
      </c>
      <c r="J160" s="2" t="n">
        <v>71</v>
      </c>
      <c r="K160" s="2" t="n">
        <f aca="false">IF(H160&lt;=PERCENTILE($H$2:$H$230,설명!$B$26),1,0)</f>
        <v>0</v>
      </c>
      <c r="L160" s="2" t="n">
        <f aca="false">IF(I160=0,1,0)</f>
        <v>0</v>
      </c>
      <c r="M160" s="2" t="n">
        <f aca="false">L160</f>
        <v>0</v>
      </c>
      <c r="N160" s="9" t="n">
        <v>0.1435</v>
      </c>
      <c r="O160" s="2" t="n">
        <f aca="false">RANK(N160,$N$2:$N$230,0)</f>
        <v>159</v>
      </c>
      <c r="P160" s="2" t="n">
        <f aca="false">IF(O160&lt;=설명!$B$25,1,0)</f>
        <v>0</v>
      </c>
      <c r="Q160" s="2" t="str">
        <f aca="false">IF(AND(M160=1,P160=1),"① 최우선 지원",IF(P160=1,"② 예방 대상",IF(M160=1,"③ 구조적 공백","④ 관찰")))</f>
        <v>④ 관찰</v>
      </c>
      <c r="R160" s="9" t="n">
        <v>0.1447</v>
      </c>
      <c r="S160" s="2" t="n">
        <f aca="false">RANK(R160,$R$2:$R$230,0)</f>
        <v>155</v>
      </c>
    </row>
    <row r="161" customFormat="false" ht="15" hidden="false" customHeight="false" outlineLevel="0" collapsed="false">
      <c r="A161" s="2" t="s">
        <v>400</v>
      </c>
      <c r="B161" s="3" t="s">
        <v>90</v>
      </c>
      <c r="C161" s="3" t="s">
        <v>401</v>
      </c>
      <c r="D161" s="2" t="n">
        <v>2025</v>
      </c>
      <c r="E161" s="2" t="n">
        <v>2028</v>
      </c>
      <c r="F161" s="2" t="n">
        <v>3801</v>
      </c>
      <c r="G161" s="2" t="n">
        <v>56</v>
      </c>
      <c r="H161" s="8" t="n">
        <v>14.7329650092081</v>
      </c>
      <c r="I161" s="2" t="n">
        <v>1</v>
      </c>
      <c r="J161" s="2" t="n">
        <v>8</v>
      </c>
      <c r="K161" s="2" t="n">
        <f aca="false">IF(H161&lt;=PERCENTILE($H$2:$H$230,설명!$B$26),1,0)</f>
        <v>1</v>
      </c>
      <c r="L161" s="2" t="n">
        <f aca="false">IF(I161=0,1,0)</f>
        <v>0</v>
      </c>
      <c r="M161" s="2" t="n">
        <f aca="false">L161</f>
        <v>0</v>
      </c>
      <c r="N161" s="9" t="n">
        <v>0.1435</v>
      </c>
      <c r="O161" s="2" t="n">
        <f aca="false">RANK(N161,$N$2:$N$230,0)</f>
        <v>159</v>
      </c>
      <c r="P161" s="2" t="n">
        <f aca="false">IF(O161&lt;=설명!$B$25,1,0)</f>
        <v>0</v>
      </c>
      <c r="Q161" s="2" t="str">
        <f aca="false">IF(AND(M161=1,P161=1),"① 최우선 지원",IF(P161=1,"② 예방 대상",IF(M161=1,"③ 구조적 공백","④ 관찰")))</f>
        <v>④ 관찰</v>
      </c>
      <c r="R161" s="9" t="n">
        <v>0.1156</v>
      </c>
      <c r="S161" s="2" t="n">
        <f aca="false">RANK(R161,$R$2:$R$230,0)</f>
        <v>188</v>
      </c>
    </row>
    <row r="162" customFormat="false" ht="15" hidden="false" customHeight="false" outlineLevel="0" collapsed="false">
      <c r="A162" s="2" t="s">
        <v>365</v>
      </c>
      <c r="B162" s="3" t="s">
        <v>135</v>
      </c>
      <c r="C162" s="3" t="s">
        <v>226</v>
      </c>
      <c r="D162" s="2" t="n">
        <v>2025</v>
      </c>
      <c r="E162" s="2" t="n">
        <v>2028</v>
      </c>
      <c r="F162" s="2" t="n">
        <v>2827</v>
      </c>
      <c r="G162" s="2" t="n">
        <v>44</v>
      </c>
      <c r="H162" s="8" t="n">
        <v>15.5642023346304</v>
      </c>
      <c r="I162" s="2" t="n">
        <v>4</v>
      </c>
      <c r="J162" s="2" t="n">
        <v>41</v>
      </c>
      <c r="K162" s="2" t="n">
        <f aca="false">IF(H162&lt;=PERCENTILE($H$2:$H$230,설명!$B$26),1,0)</f>
        <v>0</v>
      </c>
      <c r="L162" s="2" t="n">
        <f aca="false">IF(I162=0,1,0)</f>
        <v>0</v>
      </c>
      <c r="M162" s="2" t="n">
        <f aca="false">L162</f>
        <v>0</v>
      </c>
      <c r="N162" s="9" t="n">
        <v>0.1429</v>
      </c>
      <c r="O162" s="2" t="n">
        <f aca="false">RANK(N162,$N$2:$N$230,0)</f>
        <v>161</v>
      </c>
      <c r="P162" s="2" t="n">
        <f aca="false">IF(O162&lt;=설명!$B$25,1,0)</f>
        <v>0</v>
      </c>
      <c r="Q162" s="2" t="str">
        <f aca="false">IF(AND(M162=1,P162=1),"① 최우선 지원",IF(P162=1,"② 예방 대상",IF(M162=1,"③ 구조적 공백","④ 관찰")))</f>
        <v>④ 관찰</v>
      </c>
      <c r="R162" s="9" t="n">
        <v>0.1548</v>
      </c>
      <c r="S162" s="2" t="n">
        <f aca="false">RANK(R162,$R$2:$R$230,0)</f>
        <v>149</v>
      </c>
    </row>
    <row r="163" customFormat="false" ht="15" hidden="false" customHeight="false" outlineLevel="0" collapsed="false">
      <c r="A163" s="2" t="s">
        <v>362</v>
      </c>
      <c r="B163" s="3" t="s">
        <v>71</v>
      </c>
      <c r="C163" s="3" t="s">
        <v>104</v>
      </c>
      <c r="D163" s="2" t="n">
        <v>2025</v>
      </c>
      <c r="E163" s="2" t="n">
        <v>2028</v>
      </c>
      <c r="F163" s="2" t="n">
        <v>7070</v>
      </c>
      <c r="G163" s="2" t="n">
        <v>113</v>
      </c>
      <c r="H163" s="8" t="n">
        <v>15.983026874116</v>
      </c>
      <c r="I163" s="2" t="n">
        <v>5</v>
      </c>
      <c r="J163" s="2" t="n">
        <v>39</v>
      </c>
      <c r="K163" s="2" t="n">
        <f aca="false">IF(H163&lt;=PERCENTILE($H$2:$H$230,설명!$B$26),1,0)</f>
        <v>0</v>
      </c>
      <c r="L163" s="2" t="n">
        <f aca="false">IF(I163=0,1,0)</f>
        <v>0</v>
      </c>
      <c r="M163" s="2" t="n">
        <f aca="false">L163</f>
        <v>0</v>
      </c>
      <c r="N163" s="9" t="n">
        <v>0.1421</v>
      </c>
      <c r="O163" s="2" t="n">
        <f aca="false">RANK(N163,$N$2:$N$230,0)</f>
        <v>162</v>
      </c>
      <c r="P163" s="2" t="n">
        <f aca="false">IF(O163&lt;=설명!$B$25,1,0)</f>
        <v>0</v>
      </c>
      <c r="Q163" s="2" t="str">
        <f aca="false">IF(AND(M163=1,P163=1),"① 최우선 지원",IF(P163=1,"② 예방 대상",IF(M163=1,"③ 구조적 공백","④ 관찰")))</f>
        <v>④ 관찰</v>
      </c>
      <c r="R163" s="9" t="n">
        <v>0.1271</v>
      </c>
      <c r="S163" s="2" t="n">
        <f aca="false">RANK(R163,$R$2:$R$230,0)</f>
        <v>175</v>
      </c>
    </row>
    <row r="164" customFormat="false" ht="15" hidden="false" customHeight="false" outlineLevel="0" collapsed="false">
      <c r="A164" s="2" t="s">
        <v>358</v>
      </c>
      <c r="B164" s="3" t="s">
        <v>199</v>
      </c>
      <c r="C164" s="3" t="s">
        <v>359</v>
      </c>
      <c r="D164" s="2" t="n">
        <v>2025</v>
      </c>
      <c r="E164" s="2" t="n">
        <v>2028</v>
      </c>
      <c r="F164" s="2" t="n">
        <v>473</v>
      </c>
      <c r="G164" s="2" t="n">
        <v>8</v>
      </c>
      <c r="H164" s="8" t="n">
        <v>16.9133192389006</v>
      </c>
      <c r="I164" s="2" t="n">
        <v>0</v>
      </c>
      <c r="J164" s="2" t="n">
        <v>1</v>
      </c>
      <c r="K164" s="2" t="n">
        <f aca="false">IF(H164&lt;=PERCENTILE($H$2:$H$230,설명!$B$26),1,0)</f>
        <v>0</v>
      </c>
      <c r="L164" s="2" t="n">
        <f aca="false">IF(I164=0,1,0)</f>
        <v>1</v>
      </c>
      <c r="M164" s="2" t="n">
        <f aca="false">L164</f>
        <v>1</v>
      </c>
      <c r="N164" s="9" t="n">
        <v>0.1403</v>
      </c>
      <c r="O164" s="2" t="n">
        <f aca="false">RANK(N164,$N$2:$N$230,0)</f>
        <v>163</v>
      </c>
      <c r="P164" s="2" t="n">
        <f aca="false">IF(O164&lt;=설명!$B$25,1,0)</f>
        <v>0</v>
      </c>
      <c r="Q164" s="2" t="str">
        <f aca="false">IF(AND(M164=1,P164=1),"① 최우선 지원",IF(P164=1,"② 예방 대상",IF(M164=1,"③ 구조적 공백","④ 관찰")))</f>
        <v>③ 구조적 공백</v>
      </c>
      <c r="R164" s="9" t="n">
        <v>0.1802</v>
      </c>
      <c r="S164" s="2" t="n">
        <f aca="false">RANK(R164,$R$2:$R$230,0)</f>
        <v>137</v>
      </c>
    </row>
    <row r="165" customFormat="false" ht="15" hidden="false" customHeight="false" outlineLevel="0" collapsed="false">
      <c r="A165" s="2" t="s">
        <v>381</v>
      </c>
      <c r="B165" s="3" t="s">
        <v>63</v>
      </c>
      <c r="C165" s="3" t="s">
        <v>382</v>
      </c>
      <c r="D165" s="2" t="n">
        <v>2025</v>
      </c>
      <c r="E165" s="2" t="n">
        <v>2028</v>
      </c>
      <c r="F165" s="2" t="n">
        <v>751</v>
      </c>
      <c r="G165" s="2" t="n">
        <v>21</v>
      </c>
      <c r="H165" s="8" t="n">
        <v>27.9627163781625</v>
      </c>
      <c r="I165" s="2" t="n">
        <v>1</v>
      </c>
      <c r="J165" s="2" t="n">
        <v>2</v>
      </c>
      <c r="K165" s="2" t="n">
        <f aca="false">IF(H165&lt;=PERCENTILE($H$2:$H$230,설명!$B$26),1,0)</f>
        <v>0</v>
      </c>
      <c r="L165" s="2" t="n">
        <f aca="false">IF(I165=0,1,0)</f>
        <v>0</v>
      </c>
      <c r="M165" s="2" t="n">
        <f aca="false">L165</f>
        <v>0</v>
      </c>
      <c r="N165" s="9" t="n">
        <v>0.1402</v>
      </c>
      <c r="O165" s="2" t="n">
        <f aca="false">RANK(N165,$N$2:$N$230,0)</f>
        <v>164</v>
      </c>
      <c r="P165" s="2" t="n">
        <f aca="false">IF(O165&lt;=설명!$B$25,1,0)</f>
        <v>0</v>
      </c>
      <c r="Q165" s="2" t="str">
        <f aca="false">IF(AND(M165=1,P165=1),"① 최우선 지원",IF(P165=1,"② 예방 대상",IF(M165=1,"③ 구조적 공백","④ 관찰")))</f>
        <v>④ 관찰</v>
      </c>
      <c r="R165" s="9" t="n">
        <v>0.1486</v>
      </c>
      <c r="S165" s="2" t="n">
        <f aca="false">RANK(R165,$R$2:$R$230,0)</f>
        <v>152</v>
      </c>
    </row>
    <row r="166" customFormat="false" ht="15" hidden="false" customHeight="false" outlineLevel="0" collapsed="false">
      <c r="A166" s="2" t="s">
        <v>225</v>
      </c>
      <c r="B166" s="3" t="s">
        <v>113</v>
      </c>
      <c r="C166" s="3" t="s">
        <v>226</v>
      </c>
      <c r="D166" s="2" t="n">
        <v>2025</v>
      </c>
      <c r="E166" s="2" t="n">
        <v>2028</v>
      </c>
      <c r="F166" s="2" t="n">
        <v>9005</v>
      </c>
      <c r="G166" s="2" t="n">
        <v>140</v>
      </c>
      <c r="H166" s="8" t="n">
        <v>15.5469183786785</v>
      </c>
      <c r="I166" s="2" t="n">
        <v>10</v>
      </c>
      <c r="J166" s="2" t="n">
        <v>40</v>
      </c>
      <c r="K166" s="2" t="n">
        <f aca="false">IF(H166&lt;=PERCENTILE($H$2:$H$230,설명!$B$26),1,0)</f>
        <v>0</v>
      </c>
      <c r="L166" s="2" t="n">
        <f aca="false">IF(I166=0,1,0)</f>
        <v>0</v>
      </c>
      <c r="M166" s="2" t="n">
        <f aca="false">L166</f>
        <v>0</v>
      </c>
      <c r="N166" s="9" t="n">
        <v>0.1401</v>
      </c>
      <c r="O166" s="2" t="n">
        <f aca="false">RANK(N166,$N$2:$N$230,0)</f>
        <v>165</v>
      </c>
      <c r="P166" s="2" t="n">
        <f aca="false">IF(O166&lt;=설명!$B$25,1,0)</f>
        <v>0</v>
      </c>
      <c r="Q166" s="2" t="str">
        <f aca="false">IF(AND(M166=1,P166=1),"① 최우선 지원",IF(P166=1,"② 예방 대상",IF(M166=1,"③ 구조적 공백","④ 관찰")))</f>
        <v>④ 관찰</v>
      </c>
      <c r="R166" s="9" t="n">
        <v>0.1413</v>
      </c>
      <c r="S166" s="2" t="n">
        <f aca="false">RANK(R166,$R$2:$R$230,0)</f>
        <v>158</v>
      </c>
    </row>
    <row r="167" customFormat="false" ht="15" hidden="false" customHeight="false" outlineLevel="0" collapsed="false">
      <c r="A167" s="2" t="s">
        <v>429</v>
      </c>
      <c r="B167" s="3" t="s">
        <v>199</v>
      </c>
      <c r="C167" s="3" t="s">
        <v>430</v>
      </c>
      <c r="D167" s="2" t="n">
        <v>2025</v>
      </c>
      <c r="E167" s="2" t="n">
        <v>2028</v>
      </c>
      <c r="F167" s="2" t="n">
        <v>2954</v>
      </c>
      <c r="G167" s="2" t="n">
        <v>48</v>
      </c>
      <c r="H167" s="8" t="n">
        <v>16.249153689912</v>
      </c>
      <c r="I167" s="2" t="n">
        <v>4</v>
      </c>
      <c r="J167" s="2" t="n">
        <v>5</v>
      </c>
      <c r="K167" s="2" t="n">
        <f aca="false">IF(H167&lt;=PERCENTILE($H$2:$H$230,설명!$B$26),1,0)</f>
        <v>0</v>
      </c>
      <c r="L167" s="2" t="n">
        <f aca="false">IF(I167=0,1,0)</f>
        <v>0</v>
      </c>
      <c r="M167" s="2" t="n">
        <f aca="false">L167</f>
        <v>0</v>
      </c>
      <c r="N167" s="9" t="n">
        <v>0.1383</v>
      </c>
      <c r="O167" s="2" t="n">
        <f aca="false">RANK(N167,$N$2:$N$230,0)</f>
        <v>166</v>
      </c>
      <c r="P167" s="2" t="n">
        <f aca="false">IF(O167&lt;=설명!$B$25,1,0)</f>
        <v>0</v>
      </c>
      <c r="Q167" s="2" t="str">
        <f aca="false">IF(AND(M167=1,P167=1),"① 최우선 지원",IF(P167=1,"② 예방 대상",IF(M167=1,"③ 구조적 공백","④ 관찰")))</f>
        <v>④ 관찰</v>
      </c>
      <c r="R167" s="9" t="n">
        <v>0.129</v>
      </c>
      <c r="S167" s="2" t="n">
        <f aca="false">RANK(R167,$R$2:$R$230,0)</f>
        <v>170</v>
      </c>
    </row>
    <row r="168" customFormat="false" ht="15" hidden="false" customHeight="false" outlineLevel="0" collapsed="false">
      <c r="A168" s="2" t="s">
        <v>376</v>
      </c>
      <c r="B168" s="3" t="s">
        <v>71</v>
      </c>
      <c r="C168" s="3" t="s">
        <v>94</v>
      </c>
      <c r="D168" s="2" t="n">
        <v>2025</v>
      </c>
      <c r="E168" s="2" t="n">
        <v>2028</v>
      </c>
      <c r="F168" s="2" t="n">
        <v>29135</v>
      </c>
      <c r="G168" s="2" t="n">
        <v>402</v>
      </c>
      <c r="H168" s="8" t="n">
        <v>13.7978376523082</v>
      </c>
      <c r="I168" s="2" t="n">
        <v>34</v>
      </c>
      <c r="J168" s="2" t="n">
        <v>86</v>
      </c>
      <c r="K168" s="2" t="n">
        <f aca="false">IF(H168&lt;=PERCENTILE($H$2:$H$230,설명!$B$26),1,0)</f>
        <v>1</v>
      </c>
      <c r="L168" s="2" t="n">
        <f aca="false">IF(I168=0,1,0)</f>
        <v>0</v>
      </c>
      <c r="M168" s="2" t="n">
        <f aca="false">L168</f>
        <v>0</v>
      </c>
      <c r="N168" s="9" t="n">
        <v>0.1374</v>
      </c>
      <c r="O168" s="2" t="n">
        <f aca="false">RANK(N168,$N$2:$N$230,0)</f>
        <v>167</v>
      </c>
      <c r="P168" s="2" t="n">
        <f aca="false">IF(O168&lt;=설명!$B$25,1,0)</f>
        <v>0</v>
      </c>
      <c r="Q168" s="2" t="str">
        <f aca="false">IF(AND(M168=1,P168=1),"① 최우선 지원",IF(P168=1,"② 예방 대상",IF(M168=1,"③ 구조적 공백","④ 관찰")))</f>
        <v>④ 관찰</v>
      </c>
      <c r="R168" s="9" t="n">
        <v>0.0653</v>
      </c>
      <c r="S168" s="2" t="n">
        <f aca="false">RANK(R168,$R$2:$R$230,0)</f>
        <v>220</v>
      </c>
    </row>
    <row r="169" customFormat="false" ht="15" hidden="false" customHeight="false" outlineLevel="0" collapsed="false">
      <c r="A169" s="2" t="s">
        <v>431</v>
      </c>
      <c r="B169" s="3" t="s">
        <v>153</v>
      </c>
      <c r="C169" s="3" t="s">
        <v>432</v>
      </c>
      <c r="D169" s="2" t="n">
        <v>2025</v>
      </c>
      <c r="E169" s="2" t="n">
        <v>2028</v>
      </c>
      <c r="F169" s="2" t="n">
        <v>543</v>
      </c>
      <c r="G169" s="2" t="n">
        <v>9</v>
      </c>
      <c r="H169" s="8" t="n">
        <v>16.5745856353591</v>
      </c>
      <c r="I169" s="2" t="n">
        <v>0</v>
      </c>
      <c r="J169" s="2" t="n">
        <v>0</v>
      </c>
      <c r="K169" s="2" t="n">
        <f aca="false">IF(H169&lt;=PERCENTILE($H$2:$H$230,설명!$B$26),1,0)</f>
        <v>0</v>
      </c>
      <c r="L169" s="2" t="n">
        <f aca="false">IF(I169=0,1,0)</f>
        <v>1</v>
      </c>
      <c r="M169" s="2" t="n">
        <f aca="false">L169</f>
        <v>1</v>
      </c>
      <c r="N169" s="9" t="n">
        <v>0.1369</v>
      </c>
      <c r="O169" s="2" t="n">
        <f aca="false">RANK(N169,$N$2:$N$230,0)</f>
        <v>168</v>
      </c>
      <c r="P169" s="2" t="n">
        <f aca="false">IF(O169&lt;=설명!$B$25,1,0)</f>
        <v>0</v>
      </c>
      <c r="Q169" s="2" t="str">
        <f aca="false">IF(AND(M169=1,P169=1),"① 최우선 지원",IF(P169=1,"② 예방 대상",IF(M169=1,"③ 구조적 공백","④ 관찰")))</f>
        <v>③ 구조적 공백</v>
      </c>
      <c r="R169" s="9" t="n">
        <v>0.1758</v>
      </c>
      <c r="S169" s="2" t="n">
        <f aca="false">RANK(R169,$R$2:$R$230,0)</f>
        <v>138</v>
      </c>
    </row>
    <row r="170" customFormat="false" ht="15" hidden="false" customHeight="false" outlineLevel="0" collapsed="false">
      <c r="A170" s="2" t="s">
        <v>347</v>
      </c>
      <c r="B170" s="3" t="s">
        <v>199</v>
      </c>
      <c r="C170" s="3" t="s">
        <v>348</v>
      </c>
      <c r="D170" s="2" t="n">
        <v>2025</v>
      </c>
      <c r="E170" s="2" t="n">
        <v>2028</v>
      </c>
      <c r="F170" s="2" t="n">
        <v>5580</v>
      </c>
      <c r="G170" s="2" t="n">
        <v>92</v>
      </c>
      <c r="H170" s="8" t="n">
        <v>16.4874551971326</v>
      </c>
      <c r="I170" s="2" t="n">
        <v>8</v>
      </c>
      <c r="J170" s="2" t="n">
        <v>12</v>
      </c>
      <c r="K170" s="2" t="n">
        <f aca="false">IF(H170&lt;=PERCENTILE($H$2:$H$230,설명!$B$26),1,0)</f>
        <v>0</v>
      </c>
      <c r="L170" s="2" t="n">
        <f aca="false">IF(I170=0,1,0)</f>
        <v>0</v>
      </c>
      <c r="M170" s="2" t="n">
        <f aca="false">L170</f>
        <v>0</v>
      </c>
      <c r="N170" s="9" t="n">
        <v>0.1358</v>
      </c>
      <c r="O170" s="2" t="n">
        <f aca="false">RANK(N170,$N$2:$N$230,0)</f>
        <v>169</v>
      </c>
      <c r="P170" s="2" t="n">
        <f aca="false">IF(O170&lt;=설명!$B$25,1,0)</f>
        <v>0</v>
      </c>
      <c r="Q170" s="2" t="str">
        <f aca="false">IF(AND(M170=1,P170=1),"① 최우선 지원",IF(P170=1,"② 예방 대상",IF(M170=1,"③ 구조적 공백","④ 관찰")))</f>
        <v>④ 관찰</v>
      </c>
      <c r="R170" s="9" t="n">
        <v>0.1584</v>
      </c>
      <c r="S170" s="2" t="n">
        <f aca="false">RANK(R170,$R$2:$R$230,0)</f>
        <v>146</v>
      </c>
    </row>
    <row r="171" customFormat="false" ht="15" hidden="false" customHeight="false" outlineLevel="0" collapsed="false">
      <c r="A171" s="2" t="s">
        <v>310</v>
      </c>
      <c r="B171" s="3" t="s">
        <v>76</v>
      </c>
      <c r="C171" s="3" t="s">
        <v>311</v>
      </c>
      <c r="D171" s="2" t="n">
        <v>2025</v>
      </c>
      <c r="E171" s="2" t="n">
        <v>2028</v>
      </c>
      <c r="F171" s="2" t="n">
        <v>129</v>
      </c>
      <c r="G171" s="2" t="n">
        <v>1</v>
      </c>
      <c r="H171" s="8" t="n">
        <v>7.75193798449612</v>
      </c>
      <c r="I171" s="2" t="n">
        <v>0</v>
      </c>
      <c r="J171" s="2" t="n">
        <v>1</v>
      </c>
      <c r="K171" s="2" t="n">
        <f aca="false">IF(H171&lt;=PERCENTILE($H$2:$H$230,설명!$B$26),1,0)</f>
        <v>1</v>
      </c>
      <c r="L171" s="2" t="n">
        <f aca="false">IF(I171=0,1,0)</f>
        <v>1</v>
      </c>
      <c r="M171" s="2" t="n">
        <f aca="false">L171</f>
        <v>1</v>
      </c>
      <c r="N171" s="9" t="n">
        <v>0.1346</v>
      </c>
      <c r="O171" s="2" t="n">
        <f aca="false">RANK(N171,$N$2:$N$230,0)</f>
        <v>170</v>
      </c>
      <c r="P171" s="2" t="n">
        <f aca="false">IF(O171&lt;=설명!$B$25,1,0)</f>
        <v>0</v>
      </c>
      <c r="Q171" s="2" t="str">
        <f aca="false">IF(AND(M171=1,P171=1),"① 최우선 지원",IF(P171=1,"② 예방 대상",IF(M171=1,"③ 구조적 공백","④ 관찰")))</f>
        <v>③ 구조적 공백</v>
      </c>
      <c r="R171" s="9" t="n">
        <v>0.1278</v>
      </c>
      <c r="S171" s="2" t="n">
        <f aca="false">RANK(R171,$R$2:$R$230,0)</f>
        <v>174</v>
      </c>
    </row>
    <row r="172" customFormat="false" ht="15" hidden="false" customHeight="false" outlineLevel="0" collapsed="false">
      <c r="A172" s="2" t="s">
        <v>374</v>
      </c>
      <c r="B172" s="3" t="s">
        <v>199</v>
      </c>
      <c r="C172" s="3" t="s">
        <v>375</v>
      </c>
      <c r="D172" s="2" t="n">
        <v>2025</v>
      </c>
      <c r="E172" s="2" t="n">
        <v>2028</v>
      </c>
      <c r="F172" s="2" t="n">
        <v>699</v>
      </c>
      <c r="G172" s="2" t="n">
        <v>14</v>
      </c>
      <c r="H172" s="8" t="n">
        <v>20.0286123032904</v>
      </c>
      <c r="I172" s="2" t="n">
        <v>0</v>
      </c>
      <c r="J172" s="2" t="n">
        <v>1</v>
      </c>
      <c r="K172" s="2" t="n">
        <f aca="false">IF(H172&lt;=PERCENTILE($H$2:$H$230,설명!$B$26),1,0)</f>
        <v>0</v>
      </c>
      <c r="L172" s="2" t="n">
        <f aca="false">IF(I172=0,1,0)</f>
        <v>1</v>
      </c>
      <c r="M172" s="2" t="n">
        <f aca="false">L172</f>
        <v>1</v>
      </c>
      <c r="N172" s="9" t="n">
        <v>0.1336</v>
      </c>
      <c r="O172" s="2" t="n">
        <f aca="false">RANK(N172,$N$2:$N$230,0)</f>
        <v>171</v>
      </c>
      <c r="P172" s="2" t="n">
        <f aca="false">IF(O172&lt;=설명!$B$25,1,0)</f>
        <v>0</v>
      </c>
      <c r="Q172" s="2" t="str">
        <f aca="false">IF(AND(M172=1,P172=1),"① 최우선 지원",IF(P172=1,"② 예방 대상",IF(M172=1,"③ 구조적 공백","④ 관찰")))</f>
        <v>③ 구조적 공백</v>
      </c>
      <c r="R172" s="9" t="n">
        <v>0.1255</v>
      </c>
      <c r="S172" s="2" t="n">
        <f aca="false">RANK(R172,$R$2:$R$230,0)</f>
        <v>176</v>
      </c>
    </row>
    <row r="173" customFormat="false" ht="15" hidden="false" customHeight="false" outlineLevel="0" collapsed="false">
      <c r="A173" s="2" t="s">
        <v>332</v>
      </c>
      <c r="B173" s="3" t="s">
        <v>113</v>
      </c>
      <c r="C173" s="3" t="s">
        <v>333</v>
      </c>
      <c r="D173" s="2" t="n">
        <v>2025</v>
      </c>
      <c r="E173" s="2" t="n">
        <v>2028</v>
      </c>
      <c r="F173" s="2" t="n">
        <v>6234</v>
      </c>
      <c r="G173" s="2" t="n">
        <v>95</v>
      </c>
      <c r="H173" s="8" t="n">
        <v>15.2390118703882</v>
      </c>
      <c r="I173" s="2" t="n">
        <v>5</v>
      </c>
      <c r="J173" s="2" t="n">
        <v>11</v>
      </c>
      <c r="K173" s="2" t="n">
        <f aca="false">IF(H173&lt;=PERCENTILE($H$2:$H$230,설명!$B$26),1,0)</f>
        <v>1</v>
      </c>
      <c r="L173" s="2" t="n">
        <f aca="false">IF(I173=0,1,0)</f>
        <v>0</v>
      </c>
      <c r="M173" s="2" t="n">
        <f aca="false">L173</f>
        <v>0</v>
      </c>
      <c r="N173" s="9" t="n">
        <v>0.1327</v>
      </c>
      <c r="O173" s="2" t="n">
        <f aca="false">RANK(N173,$N$2:$N$230,0)</f>
        <v>172</v>
      </c>
      <c r="P173" s="2" t="n">
        <f aca="false">IF(O173&lt;=설명!$B$25,1,0)</f>
        <v>0</v>
      </c>
      <c r="Q173" s="2" t="str">
        <f aca="false">IF(AND(M173=1,P173=1),"① 최우선 지원",IF(P173=1,"② 예방 대상",IF(M173=1,"③ 구조적 공백","④ 관찰")))</f>
        <v>④ 관찰</v>
      </c>
      <c r="R173" s="9" t="n">
        <v>0.1738</v>
      </c>
      <c r="S173" s="2" t="n">
        <f aca="false">RANK(R173,$R$2:$R$230,0)</f>
        <v>139</v>
      </c>
    </row>
    <row r="174" customFormat="false" ht="15" hidden="false" customHeight="false" outlineLevel="0" collapsed="false">
      <c r="A174" s="2" t="s">
        <v>363</v>
      </c>
      <c r="B174" s="3" t="s">
        <v>204</v>
      </c>
      <c r="C174" s="3" t="s">
        <v>364</v>
      </c>
      <c r="D174" s="2" t="n">
        <v>2025</v>
      </c>
      <c r="E174" s="2" t="n">
        <v>2028</v>
      </c>
      <c r="F174" s="2" t="n">
        <v>665</v>
      </c>
      <c r="G174" s="2" t="n">
        <v>11</v>
      </c>
      <c r="H174" s="8" t="n">
        <v>16.5413533834587</v>
      </c>
      <c r="I174" s="2" t="n">
        <v>1</v>
      </c>
      <c r="J174" s="2" t="n">
        <v>3</v>
      </c>
      <c r="K174" s="2" t="n">
        <f aca="false">IF(H174&lt;=PERCENTILE($H$2:$H$230,설명!$B$26),1,0)</f>
        <v>0</v>
      </c>
      <c r="L174" s="2" t="n">
        <f aca="false">IF(I174=0,1,0)</f>
        <v>0</v>
      </c>
      <c r="M174" s="2" t="n">
        <f aca="false">L174</f>
        <v>0</v>
      </c>
      <c r="N174" s="9" t="n">
        <v>0.1315</v>
      </c>
      <c r="O174" s="2" t="n">
        <f aca="false">RANK(N174,$N$2:$N$230,0)</f>
        <v>173</v>
      </c>
      <c r="P174" s="2" t="n">
        <f aca="false">IF(O174&lt;=설명!$B$25,1,0)</f>
        <v>0</v>
      </c>
      <c r="Q174" s="2" t="str">
        <f aca="false">IF(AND(M174=1,P174=1),"① 최우선 지원",IF(P174=1,"② 예방 대상",IF(M174=1,"③ 구조적 공백","④ 관찰")))</f>
        <v>④ 관찰</v>
      </c>
      <c r="R174" s="9" t="n">
        <v>0.1322</v>
      </c>
      <c r="S174" s="2" t="n">
        <f aca="false">RANK(R174,$R$2:$R$230,0)</f>
        <v>167</v>
      </c>
    </row>
    <row r="175" customFormat="false" ht="15" hidden="false" customHeight="false" outlineLevel="0" collapsed="false">
      <c r="A175" s="2" t="s">
        <v>404</v>
      </c>
      <c r="B175" s="3" t="s">
        <v>66</v>
      </c>
      <c r="C175" s="3" t="s">
        <v>405</v>
      </c>
      <c r="D175" s="2" t="n">
        <v>2025</v>
      </c>
      <c r="E175" s="2" t="n">
        <v>2028</v>
      </c>
      <c r="F175" s="2" t="n">
        <v>29003</v>
      </c>
      <c r="G175" s="2" t="n">
        <v>427</v>
      </c>
      <c r="H175" s="8" t="n">
        <v>14.7226149019067</v>
      </c>
      <c r="I175" s="2" t="n">
        <v>62</v>
      </c>
      <c r="J175" s="2" t="n">
        <v>163</v>
      </c>
      <c r="K175" s="2" t="n">
        <f aca="false">IF(H175&lt;=PERCENTILE($H$2:$H$230,설명!$B$26),1,0)</f>
        <v>1</v>
      </c>
      <c r="L175" s="2" t="n">
        <f aca="false">IF(I175=0,1,0)</f>
        <v>0</v>
      </c>
      <c r="M175" s="2" t="n">
        <f aca="false">L175</f>
        <v>0</v>
      </c>
      <c r="N175" s="9" t="n">
        <v>0.1314</v>
      </c>
      <c r="O175" s="2" t="n">
        <f aca="false">RANK(N175,$N$2:$N$230,0)</f>
        <v>174</v>
      </c>
      <c r="P175" s="2" t="n">
        <f aca="false">IF(O175&lt;=설명!$B$25,1,0)</f>
        <v>0</v>
      </c>
      <c r="Q175" s="2" t="str">
        <f aca="false">IF(AND(M175=1,P175=1),"① 최우선 지원",IF(P175=1,"② 예방 대상",IF(M175=1,"③ 구조적 공백","④ 관찰")))</f>
        <v>④ 관찰</v>
      </c>
      <c r="R175" s="9" t="n">
        <v>0.115</v>
      </c>
      <c r="S175" s="2" t="n">
        <f aca="false">RANK(R175,$R$2:$R$230,0)</f>
        <v>190</v>
      </c>
    </row>
    <row r="176" customFormat="false" ht="15" hidden="false" customHeight="false" outlineLevel="0" collapsed="false">
      <c r="A176" s="2" t="s">
        <v>449</v>
      </c>
      <c r="B176" s="3" t="s">
        <v>79</v>
      </c>
      <c r="C176" s="3" t="s">
        <v>450</v>
      </c>
      <c r="D176" s="2" t="n">
        <v>2025</v>
      </c>
      <c r="E176" s="2" t="n">
        <v>2028</v>
      </c>
      <c r="F176" s="2" t="n">
        <v>10416</v>
      </c>
      <c r="G176" s="2" t="n">
        <v>133</v>
      </c>
      <c r="H176" s="8" t="n">
        <v>12.7688172043011</v>
      </c>
      <c r="I176" s="2" t="n">
        <v>15</v>
      </c>
      <c r="J176" s="2" t="n">
        <v>49</v>
      </c>
      <c r="K176" s="2" t="n">
        <f aca="false">IF(H176&lt;=PERCENTILE($H$2:$H$230,설명!$B$26),1,0)</f>
        <v>1</v>
      </c>
      <c r="L176" s="2" t="n">
        <f aca="false">IF(I176=0,1,0)</f>
        <v>0</v>
      </c>
      <c r="M176" s="2" t="n">
        <f aca="false">L176</f>
        <v>0</v>
      </c>
      <c r="N176" s="9" t="n">
        <v>0.1313</v>
      </c>
      <c r="O176" s="2" t="n">
        <f aca="false">RANK(N176,$N$2:$N$230,0)</f>
        <v>175</v>
      </c>
      <c r="P176" s="2" t="n">
        <f aca="false">IF(O176&lt;=설명!$B$25,1,0)</f>
        <v>0</v>
      </c>
      <c r="Q176" s="2" t="str">
        <f aca="false">IF(AND(M176=1,P176=1),"① 최우선 지원",IF(P176=1,"② 예방 대상",IF(M176=1,"③ 구조적 공백","④ 관찰")))</f>
        <v>④ 관찰</v>
      </c>
      <c r="R176" s="9" t="n">
        <v>0.0831</v>
      </c>
      <c r="S176" s="2" t="n">
        <f aca="false">RANK(R176,$R$2:$R$230,0)</f>
        <v>214</v>
      </c>
    </row>
    <row r="177" customFormat="false" ht="15" hidden="false" customHeight="false" outlineLevel="0" collapsed="false">
      <c r="A177" s="2" t="s">
        <v>324</v>
      </c>
      <c r="B177" s="3" t="s">
        <v>66</v>
      </c>
      <c r="C177" s="3" t="s">
        <v>325</v>
      </c>
      <c r="D177" s="2" t="n">
        <v>2025</v>
      </c>
      <c r="E177" s="2" t="n">
        <v>2028</v>
      </c>
      <c r="F177" s="2" t="n">
        <v>48067</v>
      </c>
      <c r="G177" s="2" t="n">
        <v>702</v>
      </c>
      <c r="H177" s="8" t="n">
        <v>14.6046143924106</v>
      </c>
      <c r="I177" s="2" t="n">
        <v>53</v>
      </c>
      <c r="J177" s="2" t="n">
        <v>131</v>
      </c>
      <c r="K177" s="2" t="n">
        <f aca="false">IF(H177&lt;=PERCENTILE($H$2:$H$230,설명!$B$26),1,0)</f>
        <v>1</v>
      </c>
      <c r="L177" s="2" t="n">
        <f aca="false">IF(I177=0,1,0)</f>
        <v>0</v>
      </c>
      <c r="M177" s="2" t="n">
        <f aca="false">L177</f>
        <v>0</v>
      </c>
      <c r="N177" s="9" t="n">
        <v>0.1305</v>
      </c>
      <c r="O177" s="2" t="n">
        <f aca="false">RANK(N177,$N$2:$N$230,0)</f>
        <v>176</v>
      </c>
      <c r="P177" s="2" t="n">
        <f aca="false">IF(O177&lt;=설명!$B$25,1,0)</f>
        <v>0</v>
      </c>
      <c r="Q177" s="2" t="str">
        <f aca="false">IF(AND(M177=1,P177=1),"① 최우선 지원",IF(P177=1,"② 예방 대상",IF(M177=1,"③ 구조적 공백","④ 관찰")))</f>
        <v>④ 관찰</v>
      </c>
      <c r="R177" s="9" t="n">
        <v>0.1355</v>
      </c>
      <c r="S177" s="2" t="n">
        <f aca="false">RANK(R177,$R$2:$R$230,0)</f>
        <v>162</v>
      </c>
    </row>
    <row r="178" customFormat="false" ht="15" hidden="false" customHeight="false" outlineLevel="0" collapsed="false">
      <c r="A178" s="2" t="s">
        <v>435</v>
      </c>
      <c r="B178" s="3" t="s">
        <v>90</v>
      </c>
      <c r="C178" s="3" t="s">
        <v>436</v>
      </c>
      <c r="D178" s="2" t="n">
        <v>2025</v>
      </c>
      <c r="E178" s="2" t="n">
        <v>2028</v>
      </c>
      <c r="F178" s="2" t="n">
        <v>798</v>
      </c>
      <c r="G178" s="2" t="n">
        <v>14</v>
      </c>
      <c r="H178" s="8" t="n">
        <v>17.5438596491228</v>
      </c>
      <c r="I178" s="2" t="n">
        <v>0</v>
      </c>
      <c r="J178" s="2" t="n">
        <v>1</v>
      </c>
      <c r="K178" s="2" t="n">
        <f aca="false">IF(H178&lt;=PERCENTILE($H$2:$H$230,설명!$B$26),1,0)</f>
        <v>0</v>
      </c>
      <c r="L178" s="2" t="n">
        <f aca="false">IF(I178=0,1,0)</f>
        <v>1</v>
      </c>
      <c r="M178" s="2" t="n">
        <f aca="false">L178</f>
        <v>1</v>
      </c>
      <c r="N178" s="9" t="n">
        <v>0.1291</v>
      </c>
      <c r="O178" s="2" t="n">
        <f aca="false">RANK(N178,$N$2:$N$230,0)</f>
        <v>177</v>
      </c>
      <c r="P178" s="2" t="n">
        <f aca="false">IF(O178&lt;=설명!$B$25,1,0)</f>
        <v>0</v>
      </c>
      <c r="Q178" s="2" t="str">
        <f aca="false">IF(AND(M178=1,P178=1),"① 최우선 지원",IF(P178=1,"② 예방 대상",IF(M178=1,"③ 구조적 공백","④ 관찰")))</f>
        <v>③ 구조적 공백</v>
      </c>
      <c r="R178" s="9" t="n">
        <v>0.1365</v>
      </c>
      <c r="S178" s="2" t="n">
        <f aca="false">RANK(R178,$R$2:$R$230,0)</f>
        <v>161</v>
      </c>
    </row>
    <row r="179" customFormat="false" ht="15" hidden="false" customHeight="false" outlineLevel="0" collapsed="false">
      <c r="A179" s="2" t="s">
        <v>342</v>
      </c>
      <c r="B179" s="3" t="s">
        <v>343</v>
      </c>
      <c r="C179" s="3" t="s">
        <v>344</v>
      </c>
      <c r="D179" s="2" t="n">
        <v>2025</v>
      </c>
      <c r="E179" s="2" t="n">
        <v>2028</v>
      </c>
      <c r="F179" s="2" t="n">
        <v>16626</v>
      </c>
      <c r="G179" s="2" t="n">
        <v>278</v>
      </c>
      <c r="H179" s="8" t="n">
        <v>16.7207987489474</v>
      </c>
      <c r="I179" s="2" t="n">
        <v>27</v>
      </c>
      <c r="J179" s="2" t="n">
        <v>60</v>
      </c>
      <c r="K179" s="2" t="n">
        <f aca="false">IF(H179&lt;=PERCENTILE($H$2:$H$230,설명!$B$26),1,0)</f>
        <v>0</v>
      </c>
      <c r="L179" s="2" t="n">
        <f aca="false">IF(I179=0,1,0)</f>
        <v>0</v>
      </c>
      <c r="M179" s="2" t="n">
        <f aca="false">L179</f>
        <v>0</v>
      </c>
      <c r="N179" s="9" t="n">
        <v>0.129</v>
      </c>
      <c r="O179" s="2" t="n">
        <f aca="false">RANK(N179,$N$2:$N$230,0)</f>
        <v>178</v>
      </c>
      <c r="P179" s="2" t="n">
        <f aca="false">IF(O179&lt;=설명!$B$25,1,0)</f>
        <v>0</v>
      </c>
      <c r="Q179" s="2" t="str">
        <f aca="false">IF(AND(M179=1,P179=1),"① 최우선 지원",IF(P179=1,"② 예방 대상",IF(M179=1,"③ 구조적 공백","④ 관찰")))</f>
        <v>④ 관찰</v>
      </c>
      <c r="R179" s="9" t="n">
        <v>0.1285</v>
      </c>
      <c r="S179" s="2" t="n">
        <f aca="false">RANK(R179,$R$2:$R$230,0)</f>
        <v>171</v>
      </c>
    </row>
    <row r="180" customFormat="false" ht="15" hidden="false" customHeight="false" outlineLevel="0" collapsed="false">
      <c r="A180" s="2" t="s">
        <v>416</v>
      </c>
      <c r="B180" s="3" t="s">
        <v>120</v>
      </c>
      <c r="C180" s="3" t="s">
        <v>104</v>
      </c>
      <c r="D180" s="2" t="n">
        <v>2025</v>
      </c>
      <c r="E180" s="2" t="n">
        <v>2028</v>
      </c>
      <c r="F180" s="2" t="n">
        <v>2969</v>
      </c>
      <c r="G180" s="2" t="n">
        <v>64</v>
      </c>
      <c r="H180" s="8" t="n">
        <v>21.5560794880431</v>
      </c>
      <c r="I180" s="2" t="n">
        <v>4</v>
      </c>
      <c r="J180" s="2" t="n">
        <v>17</v>
      </c>
      <c r="K180" s="2" t="n">
        <f aca="false">IF(H180&lt;=PERCENTILE($H$2:$H$230,설명!$B$26),1,0)</f>
        <v>0</v>
      </c>
      <c r="L180" s="2" t="n">
        <f aca="false">IF(I180=0,1,0)</f>
        <v>0</v>
      </c>
      <c r="M180" s="2" t="n">
        <f aca="false">L180</f>
        <v>0</v>
      </c>
      <c r="N180" s="9" t="n">
        <v>0.1287</v>
      </c>
      <c r="O180" s="2" t="n">
        <f aca="false">RANK(N180,$N$2:$N$230,0)</f>
        <v>179</v>
      </c>
      <c r="P180" s="2" t="n">
        <f aca="false">IF(O180&lt;=설명!$B$25,1,0)</f>
        <v>0</v>
      </c>
      <c r="Q180" s="2" t="str">
        <f aca="false">IF(AND(M180=1,P180=1),"① 최우선 지원",IF(P180=1,"② 예방 대상",IF(M180=1,"③ 구조적 공백","④ 관찰")))</f>
        <v>④ 관찰</v>
      </c>
      <c r="R180" s="9" t="n">
        <v>0.1243</v>
      </c>
      <c r="S180" s="2" t="n">
        <f aca="false">RANK(R180,$R$2:$R$230,0)</f>
        <v>177</v>
      </c>
    </row>
    <row r="181" customFormat="false" ht="15" hidden="false" customHeight="false" outlineLevel="0" collapsed="false">
      <c r="A181" s="2" t="s">
        <v>421</v>
      </c>
      <c r="B181" s="3" t="s">
        <v>79</v>
      </c>
      <c r="C181" s="3" t="s">
        <v>422</v>
      </c>
      <c r="D181" s="2" t="n">
        <v>2025</v>
      </c>
      <c r="E181" s="2" t="n">
        <v>2028</v>
      </c>
      <c r="F181" s="2" t="n">
        <v>8407</v>
      </c>
      <c r="G181" s="2" t="n">
        <v>100</v>
      </c>
      <c r="H181" s="8" t="n">
        <v>11.8948495301534</v>
      </c>
      <c r="I181" s="2" t="n">
        <v>15</v>
      </c>
      <c r="J181" s="2" t="n">
        <v>44</v>
      </c>
      <c r="K181" s="2" t="n">
        <f aca="false">IF(H181&lt;=PERCENTILE($H$2:$H$230,설명!$B$26),1,0)</f>
        <v>1</v>
      </c>
      <c r="L181" s="2" t="n">
        <f aca="false">IF(I181=0,1,0)</f>
        <v>0</v>
      </c>
      <c r="M181" s="2" t="n">
        <f aca="false">L181</f>
        <v>0</v>
      </c>
      <c r="N181" s="9" t="n">
        <v>0.1282</v>
      </c>
      <c r="O181" s="2" t="n">
        <f aca="false">RANK(N181,$N$2:$N$230,0)</f>
        <v>180</v>
      </c>
      <c r="P181" s="2" t="n">
        <f aca="false">IF(O181&lt;=설명!$B$25,1,0)</f>
        <v>0</v>
      </c>
      <c r="Q181" s="2" t="str">
        <f aca="false">IF(AND(M181=1,P181=1),"① 최우선 지원",IF(P181=1,"② 예방 대상",IF(M181=1,"③ 구조적 공백","④ 관찰")))</f>
        <v>④ 관찰</v>
      </c>
      <c r="R181" s="9" t="n">
        <v>0.0985</v>
      </c>
      <c r="S181" s="2" t="n">
        <f aca="false">RANK(R181,$R$2:$R$230,0)</f>
        <v>203</v>
      </c>
    </row>
    <row r="182" customFormat="false" ht="15" hidden="false" customHeight="false" outlineLevel="0" collapsed="false">
      <c r="A182" s="2" t="s">
        <v>445</v>
      </c>
      <c r="B182" s="3" t="s">
        <v>90</v>
      </c>
      <c r="C182" s="3" t="s">
        <v>446</v>
      </c>
      <c r="D182" s="2" t="n">
        <v>2025</v>
      </c>
      <c r="E182" s="2" t="n">
        <v>2028</v>
      </c>
      <c r="F182" s="2" t="n">
        <v>972</v>
      </c>
      <c r="G182" s="2" t="n">
        <v>21</v>
      </c>
      <c r="H182" s="8" t="n">
        <v>21.6049382716049</v>
      </c>
      <c r="I182" s="2" t="n">
        <v>0</v>
      </c>
      <c r="J182" s="2" t="n">
        <v>1</v>
      </c>
      <c r="K182" s="2" t="n">
        <f aca="false">IF(H182&lt;=PERCENTILE($H$2:$H$230,설명!$B$26),1,0)</f>
        <v>0</v>
      </c>
      <c r="L182" s="2" t="n">
        <f aca="false">IF(I182=0,1,0)</f>
        <v>1</v>
      </c>
      <c r="M182" s="2" t="n">
        <f aca="false">L182</f>
        <v>1</v>
      </c>
      <c r="N182" s="9" t="n">
        <v>0.1279</v>
      </c>
      <c r="O182" s="2" t="n">
        <f aca="false">RANK(N182,$N$2:$N$230,0)</f>
        <v>181</v>
      </c>
      <c r="P182" s="2" t="n">
        <f aca="false">IF(O182&lt;=설명!$B$25,1,0)</f>
        <v>0</v>
      </c>
      <c r="Q182" s="2" t="str">
        <f aca="false">IF(AND(M182=1,P182=1),"① 최우선 지원",IF(P182=1,"② 예방 대상",IF(M182=1,"③ 구조적 공백","④ 관찰")))</f>
        <v>③ 구조적 공백</v>
      </c>
      <c r="R182" s="9" t="n">
        <v>0.12</v>
      </c>
      <c r="S182" s="2" t="n">
        <f aca="false">RANK(R182,$R$2:$R$230,0)</f>
        <v>180</v>
      </c>
    </row>
    <row r="183" customFormat="false" ht="15" hidden="false" customHeight="false" outlineLevel="0" collapsed="false">
      <c r="A183" s="2" t="s">
        <v>259</v>
      </c>
      <c r="B183" s="3" t="s">
        <v>204</v>
      </c>
      <c r="C183" s="3" t="s">
        <v>260</v>
      </c>
      <c r="D183" s="2" t="n">
        <v>2025</v>
      </c>
      <c r="E183" s="2" t="n">
        <v>2028</v>
      </c>
      <c r="F183" s="2" t="n">
        <v>663</v>
      </c>
      <c r="G183" s="2" t="n">
        <v>14</v>
      </c>
      <c r="H183" s="8" t="n">
        <v>21.1161387631976</v>
      </c>
      <c r="I183" s="2" t="n">
        <v>0</v>
      </c>
      <c r="J183" s="2" t="n">
        <v>4</v>
      </c>
      <c r="K183" s="2" t="n">
        <f aca="false">IF(H183&lt;=PERCENTILE($H$2:$H$230,설명!$B$26),1,0)</f>
        <v>0</v>
      </c>
      <c r="L183" s="2" t="n">
        <f aca="false">IF(I183=0,1,0)</f>
        <v>1</v>
      </c>
      <c r="M183" s="2" t="n">
        <f aca="false">L183</f>
        <v>1</v>
      </c>
      <c r="N183" s="9" t="n">
        <v>0.127</v>
      </c>
      <c r="O183" s="2" t="n">
        <f aca="false">RANK(N183,$N$2:$N$230,0)</f>
        <v>182</v>
      </c>
      <c r="P183" s="2" t="n">
        <f aca="false">IF(O183&lt;=설명!$B$25,1,0)</f>
        <v>0</v>
      </c>
      <c r="Q183" s="2" t="str">
        <f aca="false">IF(AND(M183=1,P183=1),"① 최우선 지원",IF(P183=1,"② 예방 대상",IF(M183=1,"③ 구조적 공백","④ 관찰")))</f>
        <v>③ 구조적 공백</v>
      </c>
      <c r="R183" s="9" t="n">
        <v>0.1237</v>
      </c>
      <c r="S183" s="2" t="n">
        <f aca="false">RANK(R183,$R$2:$R$230,0)</f>
        <v>178</v>
      </c>
    </row>
    <row r="184" customFormat="false" ht="15" hidden="false" customHeight="false" outlineLevel="0" collapsed="false">
      <c r="A184" s="2" t="s">
        <v>425</v>
      </c>
      <c r="B184" s="3" t="s">
        <v>153</v>
      </c>
      <c r="C184" s="3" t="s">
        <v>426</v>
      </c>
      <c r="D184" s="2" t="n">
        <v>2025</v>
      </c>
      <c r="E184" s="2" t="n">
        <v>2028</v>
      </c>
      <c r="F184" s="2" t="n">
        <v>377</v>
      </c>
      <c r="G184" s="2" t="n">
        <v>7</v>
      </c>
      <c r="H184" s="8" t="n">
        <v>18.5676392572944</v>
      </c>
      <c r="I184" s="2" t="n">
        <v>0</v>
      </c>
      <c r="J184" s="2" t="n">
        <v>1</v>
      </c>
      <c r="K184" s="2" t="n">
        <f aca="false">IF(H184&lt;=PERCENTILE($H$2:$H$230,설명!$B$26),1,0)</f>
        <v>0</v>
      </c>
      <c r="L184" s="2" t="n">
        <f aca="false">IF(I184=0,1,0)</f>
        <v>1</v>
      </c>
      <c r="M184" s="2" t="n">
        <f aca="false">L184</f>
        <v>1</v>
      </c>
      <c r="N184" s="9" t="n">
        <v>0.1265</v>
      </c>
      <c r="O184" s="2" t="n">
        <f aca="false">RANK(N184,$N$2:$N$230,0)</f>
        <v>183</v>
      </c>
      <c r="P184" s="2" t="n">
        <f aca="false">IF(O184&lt;=설명!$B$25,1,0)</f>
        <v>0</v>
      </c>
      <c r="Q184" s="2" t="str">
        <f aca="false">IF(AND(M184=1,P184=1),"① 최우선 지원",IF(P184=1,"② 예방 대상",IF(M184=1,"③ 구조적 공백","④ 관찰")))</f>
        <v>③ 구조적 공백</v>
      </c>
      <c r="R184" s="9" t="n">
        <v>0.1285</v>
      </c>
      <c r="S184" s="2" t="n">
        <f aca="false">RANK(R184,$R$2:$R$230,0)</f>
        <v>171</v>
      </c>
    </row>
    <row r="185" customFormat="false" ht="15" hidden="false" customHeight="false" outlineLevel="0" collapsed="false">
      <c r="A185" s="2" t="s">
        <v>368</v>
      </c>
      <c r="B185" s="3" t="s">
        <v>76</v>
      </c>
      <c r="C185" s="3" t="s">
        <v>369</v>
      </c>
      <c r="D185" s="2" t="n">
        <v>2025</v>
      </c>
      <c r="E185" s="2" t="n">
        <v>2028</v>
      </c>
      <c r="F185" s="2" t="n">
        <v>563</v>
      </c>
      <c r="G185" s="2" t="n">
        <v>9</v>
      </c>
      <c r="H185" s="8" t="n">
        <v>15.9857904085258</v>
      </c>
      <c r="I185" s="2" t="n">
        <v>0</v>
      </c>
      <c r="J185" s="2" t="n">
        <v>1</v>
      </c>
      <c r="K185" s="2" t="n">
        <f aca="false">IF(H185&lt;=PERCENTILE($H$2:$H$230,설명!$B$26),1,0)</f>
        <v>0</v>
      </c>
      <c r="L185" s="2" t="n">
        <f aca="false">IF(I185=0,1,0)</f>
        <v>1</v>
      </c>
      <c r="M185" s="2" t="n">
        <f aca="false">L185</f>
        <v>1</v>
      </c>
      <c r="N185" s="9" t="n">
        <v>0.1241</v>
      </c>
      <c r="O185" s="2" t="n">
        <f aca="false">RANK(N185,$N$2:$N$230,0)</f>
        <v>184</v>
      </c>
      <c r="P185" s="2" t="n">
        <f aca="false">IF(O185&lt;=설명!$B$25,1,0)</f>
        <v>0</v>
      </c>
      <c r="Q185" s="2" t="str">
        <f aca="false">IF(AND(M185=1,P185=1),"① 최우선 지원",IF(P185=1,"② 예방 대상",IF(M185=1,"③ 구조적 공백","④ 관찰")))</f>
        <v>③ 구조적 공백</v>
      </c>
      <c r="R185" s="9" t="n">
        <v>0.1284</v>
      </c>
      <c r="S185" s="2" t="n">
        <f aca="false">RANK(R185,$R$2:$R$230,0)</f>
        <v>173</v>
      </c>
    </row>
    <row r="186" customFormat="false" ht="15" hidden="false" customHeight="false" outlineLevel="0" collapsed="false">
      <c r="A186" s="2" t="s">
        <v>451</v>
      </c>
      <c r="B186" s="3" t="s">
        <v>153</v>
      </c>
      <c r="C186" s="3" t="s">
        <v>452</v>
      </c>
      <c r="D186" s="2" t="n">
        <v>2025</v>
      </c>
      <c r="E186" s="2" t="n">
        <v>2028</v>
      </c>
      <c r="F186" s="2" t="n">
        <v>487</v>
      </c>
      <c r="G186" s="2" t="n">
        <v>6</v>
      </c>
      <c r="H186" s="8" t="n">
        <v>12.3203285420945</v>
      </c>
      <c r="I186" s="2" t="n">
        <v>0</v>
      </c>
      <c r="J186" s="2" t="n">
        <v>1</v>
      </c>
      <c r="K186" s="2" t="n">
        <f aca="false">IF(H186&lt;=PERCENTILE($H$2:$H$230,설명!$B$26),1,0)</f>
        <v>1</v>
      </c>
      <c r="L186" s="2" t="n">
        <f aca="false">IF(I186=0,1,0)</f>
        <v>1</v>
      </c>
      <c r="M186" s="2" t="n">
        <f aca="false">L186</f>
        <v>1</v>
      </c>
      <c r="N186" s="9" t="n">
        <v>0.1234</v>
      </c>
      <c r="O186" s="2" t="n">
        <f aca="false">RANK(N186,$N$2:$N$230,0)</f>
        <v>185</v>
      </c>
      <c r="P186" s="2" t="n">
        <f aca="false">IF(O186&lt;=설명!$B$25,1,0)</f>
        <v>0</v>
      </c>
      <c r="Q186" s="2" t="str">
        <f aca="false">IF(AND(M186=1,P186=1),"① 최우선 지원",IF(P186=1,"② 예방 대상",IF(M186=1,"③ 구조적 공백","④ 관찰")))</f>
        <v>③ 구조적 공백</v>
      </c>
      <c r="R186" s="9" t="n">
        <v>0.1185</v>
      </c>
      <c r="S186" s="2" t="n">
        <f aca="false">RANK(R186,$R$2:$R$230,0)</f>
        <v>181</v>
      </c>
    </row>
    <row r="187" customFormat="false" ht="15" hidden="false" customHeight="false" outlineLevel="0" collapsed="false">
      <c r="A187" s="2" t="s">
        <v>419</v>
      </c>
      <c r="B187" s="3" t="s">
        <v>71</v>
      </c>
      <c r="C187" s="3" t="s">
        <v>420</v>
      </c>
      <c r="D187" s="2" t="n">
        <v>2025</v>
      </c>
      <c r="E187" s="2" t="n">
        <v>2028</v>
      </c>
      <c r="F187" s="2" t="n">
        <v>12981</v>
      </c>
      <c r="G187" s="2" t="n">
        <v>183</v>
      </c>
      <c r="H187" s="8" t="n">
        <v>14.0975271550728</v>
      </c>
      <c r="I187" s="2" t="n">
        <v>14</v>
      </c>
      <c r="J187" s="2" t="n">
        <v>39</v>
      </c>
      <c r="K187" s="2" t="n">
        <f aca="false">IF(H187&lt;=PERCENTILE($H$2:$H$230,설명!$B$26),1,0)</f>
        <v>1</v>
      </c>
      <c r="L187" s="2" t="n">
        <f aca="false">IF(I187=0,1,0)</f>
        <v>0</v>
      </c>
      <c r="M187" s="2" t="n">
        <f aca="false">L187</f>
        <v>0</v>
      </c>
      <c r="N187" s="9" t="n">
        <v>0.123</v>
      </c>
      <c r="O187" s="2" t="n">
        <f aca="false">RANK(N187,$N$2:$N$230,0)</f>
        <v>186</v>
      </c>
      <c r="P187" s="2" t="n">
        <f aca="false">IF(O187&lt;=설명!$B$25,1,0)</f>
        <v>0</v>
      </c>
      <c r="Q187" s="2" t="str">
        <f aca="false">IF(AND(M187=1,P187=1),"① 최우선 지원",IF(P187=1,"② 예방 대상",IF(M187=1,"③ 구조적 공백","④ 관찰")))</f>
        <v>④ 관찰</v>
      </c>
      <c r="R187" s="9" t="n">
        <v>0.1083</v>
      </c>
      <c r="S187" s="2" t="n">
        <f aca="false">RANK(R187,$R$2:$R$230,0)</f>
        <v>192</v>
      </c>
    </row>
    <row r="188" customFormat="false" ht="15" hidden="false" customHeight="false" outlineLevel="0" collapsed="false">
      <c r="A188" s="2" t="s">
        <v>391</v>
      </c>
      <c r="B188" s="3" t="s">
        <v>90</v>
      </c>
      <c r="C188" s="3" t="s">
        <v>392</v>
      </c>
      <c r="D188" s="2" t="n">
        <v>2025</v>
      </c>
      <c r="E188" s="2" t="n">
        <v>2028</v>
      </c>
      <c r="F188" s="2" t="n">
        <v>398</v>
      </c>
      <c r="G188" s="2" t="n">
        <v>10</v>
      </c>
      <c r="H188" s="8" t="n">
        <v>25.1256281407035</v>
      </c>
      <c r="I188" s="2" t="n">
        <v>0</v>
      </c>
      <c r="J188" s="2" t="n">
        <v>1</v>
      </c>
      <c r="K188" s="2" t="n">
        <f aca="false">IF(H188&lt;=PERCENTILE($H$2:$H$230,설명!$B$26),1,0)</f>
        <v>0</v>
      </c>
      <c r="L188" s="2" t="n">
        <f aca="false">IF(I188=0,1,0)</f>
        <v>1</v>
      </c>
      <c r="M188" s="2" t="n">
        <f aca="false">L188</f>
        <v>1</v>
      </c>
      <c r="N188" s="9" t="n">
        <v>0.1208</v>
      </c>
      <c r="O188" s="2" t="n">
        <f aca="false">RANK(N188,$N$2:$N$230,0)</f>
        <v>187</v>
      </c>
      <c r="P188" s="2" t="n">
        <f aca="false">IF(O188&lt;=설명!$B$25,1,0)</f>
        <v>0</v>
      </c>
      <c r="Q188" s="2" t="str">
        <f aca="false">IF(AND(M188=1,P188=1),"① 최우선 지원",IF(P188=1,"② 예방 대상",IF(M188=1,"③ 구조적 공백","④ 관찰")))</f>
        <v>③ 구조적 공백</v>
      </c>
      <c r="R188" s="9" t="n">
        <v>0.1237</v>
      </c>
      <c r="S188" s="2" t="n">
        <f aca="false">RANK(R188,$R$2:$R$230,0)</f>
        <v>178</v>
      </c>
    </row>
    <row r="189" customFormat="false" ht="15" hidden="false" customHeight="false" outlineLevel="0" collapsed="false">
      <c r="A189" s="2" t="s">
        <v>385</v>
      </c>
      <c r="B189" s="3" t="s">
        <v>90</v>
      </c>
      <c r="C189" s="3" t="s">
        <v>386</v>
      </c>
      <c r="D189" s="2" t="n">
        <v>2025</v>
      </c>
      <c r="E189" s="2" t="n">
        <v>2028</v>
      </c>
      <c r="F189" s="2" t="n">
        <v>758</v>
      </c>
      <c r="G189" s="2" t="n">
        <v>12</v>
      </c>
      <c r="H189" s="8" t="n">
        <v>15.8311345646438</v>
      </c>
      <c r="I189" s="2" t="n">
        <v>0</v>
      </c>
      <c r="J189" s="2" t="n">
        <v>2</v>
      </c>
      <c r="K189" s="2" t="n">
        <f aca="false">IF(H189&lt;=PERCENTILE($H$2:$H$230,설명!$B$26),1,0)</f>
        <v>0</v>
      </c>
      <c r="L189" s="2" t="n">
        <f aca="false">IF(I189=0,1,0)</f>
        <v>1</v>
      </c>
      <c r="M189" s="2" t="n">
        <f aca="false">L189</f>
        <v>1</v>
      </c>
      <c r="N189" s="9" t="n">
        <v>0.1199</v>
      </c>
      <c r="O189" s="2" t="n">
        <f aca="false">RANK(N189,$N$2:$N$230,0)</f>
        <v>188</v>
      </c>
      <c r="P189" s="2" t="n">
        <f aca="false">IF(O189&lt;=설명!$B$25,1,0)</f>
        <v>0</v>
      </c>
      <c r="Q189" s="2" t="str">
        <f aca="false">IF(AND(M189=1,P189=1),"① 최우선 지원",IF(P189=1,"② 예방 대상",IF(M189=1,"③ 구조적 공백","④ 관찰")))</f>
        <v>③ 구조적 공백</v>
      </c>
      <c r="R189" s="9" t="n">
        <v>0.1398</v>
      </c>
      <c r="S189" s="2" t="n">
        <f aca="false">RANK(R189,$R$2:$R$230,0)</f>
        <v>159</v>
      </c>
    </row>
    <row r="190" customFormat="false" ht="15" hidden="false" customHeight="false" outlineLevel="0" collapsed="false">
      <c r="A190" s="2" t="s">
        <v>457</v>
      </c>
      <c r="B190" s="3" t="s">
        <v>66</v>
      </c>
      <c r="C190" s="3" t="s">
        <v>458</v>
      </c>
      <c r="D190" s="2" t="n">
        <v>2025</v>
      </c>
      <c r="E190" s="2" t="n">
        <v>2028</v>
      </c>
      <c r="F190" s="2" t="n">
        <v>13402</v>
      </c>
      <c r="G190" s="2" t="n">
        <v>209</v>
      </c>
      <c r="H190" s="8" t="n">
        <v>15.5946873600955</v>
      </c>
      <c r="I190" s="2" t="n">
        <v>25</v>
      </c>
      <c r="J190" s="2" t="n">
        <v>49</v>
      </c>
      <c r="K190" s="2" t="n">
        <f aca="false">IF(H190&lt;=PERCENTILE($H$2:$H$230,설명!$B$26),1,0)</f>
        <v>0</v>
      </c>
      <c r="L190" s="2" t="n">
        <f aca="false">IF(I190=0,1,0)</f>
        <v>0</v>
      </c>
      <c r="M190" s="2" t="n">
        <f aca="false">L190</f>
        <v>0</v>
      </c>
      <c r="N190" s="9" t="n">
        <v>0.1194</v>
      </c>
      <c r="O190" s="2" t="n">
        <f aca="false">RANK(N190,$N$2:$N$230,0)</f>
        <v>189</v>
      </c>
      <c r="P190" s="2" t="n">
        <f aca="false">IF(O190&lt;=설명!$B$25,1,0)</f>
        <v>0</v>
      </c>
      <c r="Q190" s="2" t="str">
        <f aca="false">IF(AND(M190=1,P190=1),"① 최우선 지원",IF(P190=1,"② 예방 대상",IF(M190=1,"③ 구조적 공백","④ 관찰")))</f>
        <v>④ 관찰</v>
      </c>
      <c r="R190" s="9" t="n">
        <v>0.1418</v>
      </c>
      <c r="S190" s="2" t="n">
        <f aca="false">RANK(R190,$R$2:$R$230,0)</f>
        <v>157</v>
      </c>
    </row>
    <row r="191" customFormat="false" ht="15" hidden="false" customHeight="false" outlineLevel="0" collapsed="false">
      <c r="A191" s="2" t="s">
        <v>423</v>
      </c>
      <c r="B191" s="3" t="s">
        <v>204</v>
      </c>
      <c r="C191" s="3" t="s">
        <v>424</v>
      </c>
      <c r="D191" s="2" t="n">
        <v>2025</v>
      </c>
      <c r="E191" s="2" t="n">
        <v>2028</v>
      </c>
      <c r="F191" s="2" t="n">
        <v>552</v>
      </c>
      <c r="G191" s="2" t="n">
        <v>13</v>
      </c>
      <c r="H191" s="8" t="n">
        <v>23.5507246376812</v>
      </c>
      <c r="I191" s="2" t="n">
        <v>0</v>
      </c>
      <c r="J191" s="2" t="n">
        <v>2</v>
      </c>
      <c r="K191" s="2" t="n">
        <f aca="false">IF(H191&lt;=PERCENTILE($H$2:$H$230,설명!$B$26),1,0)</f>
        <v>0</v>
      </c>
      <c r="L191" s="2" t="n">
        <f aca="false">IF(I191=0,1,0)</f>
        <v>1</v>
      </c>
      <c r="M191" s="2" t="n">
        <f aca="false">L191</f>
        <v>1</v>
      </c>
      <c r="N191" s="9" t="n">
        <v>0.1188</v>
      </c>
      <c r="O191" s="2" t="n">
        <f aca="false">RANK(N191,$N$2:$N$230,0)</f>
        <v>190</v>
      </c>
      <c r="P191" s="2" t="n">
        <f aca="false">IF(O191&lt;=설명!$B$25,1,0)</f>
        <v>0</v>
      </c>
      <c r="Q191" s="2" t="str">
        <f aca="false">IF(AND(M191=1,P191=1),"① 최우선 지원",IF(P191=1,"② 예방 대상",IF(M191=1,"③ 구조적 공백","④ 관찰")))</f>
        <v>③ 구조적 공백</v>
      </c>
      <c r="R191" s="9" t="n">
        <v>0.135</v>
      </c>
      <c r="S191" s="2" t="n">
        <f aca="false">RANK(R191,$R$2:$R$230,0)</f>
        <v>163</v>
      </c>
    </row>
    <row r="192" customFormat="false" ht="15" hidden="false" customHeight="false" outlineLevel="0" collapsed="false">
      <c r="A192" s="2" t="s">
        <v>383</v>
      </c>
      <c r="B192" s="3" t="s">
        <v>153</v>
      </c>
      <c r="C192" s="3" t="s">
        <v>384</v>
      </c>
      <c r="D192" s="2" t="n">
        <v>2025</v>
      </c>
      <c r="E192" s="2" t="n">
        <v>2028</v>
      </c>
      <c r="F192" s="2" t="n">
        <v>363</v>
      </c>
      <c r="G192" s="2" t="n">
        <v>6</v>
      </c>
      <c r="H192" s="8" t="n">
        <v>16.5289256198347</v>
      </c>
      <c r="I192" s="2" t="n">
        <v>0</v>
      </c>
      <c r="J192" s="2" t="n">
        <v>1</v>
      </c>
      <c r="K192" s="2" t="n">
        <f aca="false">IF(H192&lt;=PERCENTILE($H$2:$H$230,설명!$B$26),1,0)</f>
        <v>0</v>
      </c>
      <c r="L192" s="2" t="n">
        <f aca="false">IF(I192=0,1,0)</f>
        <v>1</v>
      </c>
      <c r="M192" s="2" t="n">
        <f aca="false">L192</f>
        <v>1</v>
      </c>
      <c r="N192" s="9" t="n">
        <v>0.1113</v>
      </c>
      <c r="O192" s="2" t="n">
        <f aca="false">RANK(N192,$N$2:$N$230,0)</f>
        <v>191</v>
      </c>
      <c r="P192" s="2" t="n">
        <f aca="false">IF(O192&lt;=설명!$B$25,1,0)</f>
        <v>0</v>
      </c>
      <c r="Q192" s="2" t="str">
        <f aca="false">IF(AND(M192=1,P192=1),"① 최우선 지원",IF(P192=1,"② 예방 대상",IF(M192=1,"③ 구조적 공백","④ 관찰")))</f>
        <v>③ 구조적 공백</v>
      </c>
      <c r="R192" s="9" t="n">
        <v>0.1463</v>
      </c>
      <c r="S192" s="2" t="n">
        <f aca="false">RANK(R192,$R$2:$R$230,0)</f>
        <v>154</v>
      </c>
    </row>
    <row r="193" customFormat="false" ht="15" hidden="false" customHeight="false" outlineLevel="0" collapsed="false">
      <c r="A193" s="2" t="s">
        <v>473</v>
      </c>
      <c r="B193" s="3" t="s">
        <v>204</v>
      </c>
      <c r="C193" s="3" t="s">
        <v>474</v>
      </c>
      <c r="D193" s="2" t="n">
        <v>2025</v>
      </c>
      <c r="E193" s="2" t="n">
        <v>2028</v>
      </c>
      <c r="F193" s="2" t="n">
        <v>1085</v>
      </c>
      <c r="G193" s="2" t="n">
        <v>22</v>
      </c>
      <c r="H193" s="8" t="n">
        <v>20.2764976958525</v>
      </c>
      <c r="I193" s="2" t="n">
        <v>0</v>
      </c>
      <c r="J193" s="2" t="n">
        <v>1</v>
      </c>
      <c r="K193" s="2" t="n">
        <f aca="false">IF(H193&lt;=PERCENTILE($H$2:$H$230,설명!$B$26),1,0)</f>
        <v>0</v>
      </c>
      <c r="L193" s="2" t="n">
        <f aca="false">IF(I193=0,1,0)</f>
        <v>1</v>
      </c>
      <c r="M193" s="2" t="n">
        <f aca="false">L193</f>
        <v>1</v>
      </c>
      <c r="N193" s="9" t="n">
        <v>0.1105</v>
      </c>
      <c r="O193" s="2" t="n">
        <f aca="false">RANK(N193,$N$2:$N$230,0)</f>
        <v>192</v>
      </c>
      <c r="P193" s="2" t="n">
        <f aca="false">IF(O193&lt;=설명!$B$25,1,0)</f>
        <v>0</v>
      </c>
      <c r="Q193" s="2" t="str">
        <f aca="false">IF(AND(M193=1,P193=1),"① 최우선 지원",IF(P193=1,"② 예방 대상",IF(M193=1,"③ 구조적 공백","④ 관찰")))</f>
        <v>③ 구조적 공백</v>
      </c>
      <c r="R193" s="9" t="n">
        <v>0.1155</v>
      </c>
      <c r="S193" s="2" t="n">
        <f aca="false">RANK(R193,$R$2:$R$230,0)</f>
        <v>189</v>
      </c>
    </row>
    <row r="194" customFormat="false" ht="15" hidden="false" customHeight="false" outlineLevel="0" collapsed="false">
      <c r="A194" s="2" t="s">
        <v>410</v>
      </c>
      <c r="B194" s="3" t="s">
        <v>76</v>
      </c>
      <c r="C194" s="3" t="s">
        <v>411</v>
      </c>
      <c r="D194" s="2" t="n">
        <v>2025</v>
      </c>
      <c r="E194" s="2" t="n">
        <v>2028</v>
      </c>
      <c r="F194" s="2" t="n">
        <v>1142</v>
      </c>
      <c r="G194" s="2" t="n">
        <v>18</v>
      </c>
      <c r="H194" s="8" t="n">
        <v>15.7618213660245</v>
      </c>
      <c r="I194" s="2" t="n">
        <v>0</v>
      </c>
      <c r="J194" s="2" t="n">
        <v>2</v>
      </c>
      <c r="K194" s="2" t="n">
        <f aca="false">IF(H194&lt;=PERCENTILE($H$2:$H$230,설명!$B$26),1,0)</f>
        <v>0</v>
      </c>
      <c r="L194" s="2" t="n">
        <f aca="false">IF(I194=0,1,0)</f>
        <v>1</v>
      </c>
      <c r="M194" s="2" t="n">
        <f aca="false">L194</f>
        <v>1</v>
      </c>
      <c r="N194" s="9" t="n">
        <v>0.1105</v>
      </c>
      <c r="O194" s="2" t="n">
        <f aca="false">RANK(N194,$N$2:$N$230,0)</f>
        <v>192</v>
      </c>
      <c r="P194" s="2" t="n">
        <f aca="false">IF(O194&lt;=설명!$B$25,1,0)</f>
        <v>0</v>
      </c>
      <c r="Q194" s="2" t="str">
        <f aca="false">IF(AND(M194=1,P194=1),"① 최우선 지원",IF(P194=1,"② 예방 대상",IF(M194=1,"③ 구조적 공백","④ 관찰")))</f>
        <v>③ 구조적 공백</v>
      </c>
      <c r="R194" s="9" t="n">
        <v>0.1165</v>
      </c>
      <c r="S194" s="2" t="n">
        <f aca="false">RANK(R194,$R$2:$R$230,0)</f>
        <v>187</v>
      </c>
    </row>
    <row r="195" customFormat="false" ht="15" hidden="false" customHeight="false" outlineLevel="0" collapsed="false">
      <c r="A195" s="2" t="s">
        <v>340</v>
      </c>
      <c r="B195" s="3" t="s">
        <v>66</v>
      </c>
      <c r="C195" s="3" t="s">
        <v>341</v>
      </c>
      <c r="D195" s="2" t="n">
        <v>2025</v>
      </c>
      <c r="E195" s="2" t="n">
        <v>2028</v>
      </c>
      <c r="F195" s="2" t="n">
        <v>6438</v>
      </c>
      <c r="G195" s="2" t="n">
        <v>97</v>
      </c>
      <c r="H195" s="8" t="n">
        <v>15.0667909288599</v>
      </c>
      <c r="I195" s="2" t="n">
        <v>8</v>
      </c>
      <c r="J195" s="2" t="n">
        <v>15</v>
      </c>
      <c r="K195" s="2" t="n">
        <f aca="false">IF(H195&lt;=PERCENTILE($H$2:$H$230,설명!$B$26),1,0)</f>
        <v>1</v>
      </c>
      <c r="L195" s="2" t="n">
        <f aca="false">IF(I195=0,1,0)</f>
        <v>0</v>
      </c>
      <c r="M195" s="2" t="n">
        <f aca="false">L195</f>
        <v>0</v>
      </c>
      <c r="N195" s="9" t="n">
        <v>0.1085</v>
      </c>
      <c r="O195" s="2" t="n">
        <f aca="false">RANK(N195,$N$2:$N$230,0)</f>
        <v>194</v>
      </c>
      <c r="P195" s="2" t="n">
        <f aca="false">IF(O195&lt;=설명!$B$25,1,0)</f>
        <v>0</v>
      </c>
      <c r="Q195" s="2" t="str">
        <f aca="false">IF(AND(M195=1,P195=1),"① 최우선 지원",IF(P195=1,"② 예방 대상",IF(M195=1,"③ 구조적 공백","④ 관찰")))</f>
        <v>④ 관찰</v>
      </c>
      <c r="R195" s="9" t="n">
        <v>0.1182</v>
      </c>
      <c r="S195" s="2" t="n">
        <f aca="false">RANK(R195,$R$2:$R$230,0)</f>
        <v>183</v>
      </c>
    </row>
    <row r="196" customFormat="false" ht="15" hidden="false" customHeight="false" outlineLevel="0" collapsed="false">
      <c r="A196" s="2" t="s">
        <v>417</v>
      </c>
      <c r="B196" s="3" t="s">
        <v>120</v>
      </c>
      <c r="C196" s="3" t="s">
        <v>418</v>
      </c>
      <c r="D196" s="2" t="n">
        <v>2025</v>
      </c>
      <c r="E196" s="2" t="n">
        <v>2028</v>
      </c>
      <c r="F196" s="2" t="n">
        <v>8256</v>
      </c>
      <c r="G196" s="2" t="n">
        <v>123</v>
      </c>
      <c r="H196" s="8" t="n">
        <v>14.8982558139535</v>
      </c>
      <c r="I196" s="2" t="n">
        <v>10</v>
      </c>
      <c r="J196" s="2" t="n">
        <v>96</v>
      </c>
      <c r="K196" s="2" t="n">
        <f aca="false">IF(H196&lt;=PERCENTILE($H$2:$H$230,설명!$B$26),1,0)</f>
        <v>1</v>
      </c>
      <c r="L196" s="2" t="n">
        <f aca="false">IF(I196=0,1,0)</f>
        <v>0</v>
      </c>
      <c r="M196" s="2" t="n">
        <f aca="false">L196</f>
        <v>0</v>
      </c>
      <c r="N196" s="9" t="n">
        <v>0.1037</v>
      </c>
      <c r="O196" s="2" t="n">
        <f aca="false">RANK(N196,$N$2:$N$230,0)</f>
        <v>195</v>
      </c>
      <c r="P196" s="2" t="n">
        <f aca="false">IF(O196&lt;=설명!$B$25,1,0)</f>
        <v>0</v>
      </c>
      <c r="Q196" s="2" t="str">
        <f aca="false">IF(AND(M196=1,P196=1),"① 최우선 지원",IF(P196=1,"② 예방 대상",IF(M196=1,"③ 구조적 공백","④ 관찰")))</f>
        <v>④ 관찰</v>
      </c>
      <c r="R196" s="9" t="n">
        <v>0.1083</v>
      </c>
      <c r="S196" s="2" t="n">
        <f aca="false">RANK(R196,$R$2:$R$230,0)</f>
        <v>192</v>
      </c>
    </row>
    <row r="197" customFormat="false" ht="15" hidden="false" customHeight="false" outlineLevel="0" collapsed="false">
      <c r="A197" s="2" t="s">
        <v>499</v>
      </c>
      <c r="B197" s="3" t="s">
        <v>90</v>
      </c>
      <c r="C197" s="3" t="s">
        <v>500</v>
      </c>
      <c r="D197" s="2" t="n">
        <v>2025</v>
      </c>
      <c r="E197" s="2" t="n">
        <v>2028</v>
      </c>
      <c r="F197" s="2" t="n">
        <v>692</v>
      </c>
      <c r="G197" s="2" t="n">
        <v>13</v>
      </c>
      <c r="H197" s="8" t="n">
        <v>18.7861271676301</v>
      </c>
      <c r="I197" s="2" t="n">
        <v>0</v>
      </c>
      <c r="J197" s="2" t="n">
        <v>3</v>
      </c>
      <c r="K197" s="2" t="n">
        <f aca="false">IF(H197&lt;=PERCENTILE($H$2:$H$230,설명!$B$26),1,0)</f>
        <v>0</v>
      </c>
      <c r="L197" s="2" t="n">
        <f aca="false">IF(I197=0,1,0)</f>
        <v>1</v>
      </c>
      <c r="M197" s="2" t="n">
        <f aca="false">L197</f>
        <v>1</v>
      </c>
      <c r="N197" s="9" t="n">
        <v>0.1036</v>
      </c>
      <c r="O197" s="2" t="n">
        <f aca="false">RANK(N197,$N$2:$N$230,0)</f>
        <v>196</v>
      </c>
      <c r="P197" s="2" t="n">
        <f aca="false">IF(O197&lt;=설명!$B$25,1,0)</f>
        <v>0</v>
      </c>
      <c r="Q197" s="2" t="str">
        <f aca="false">IF(AND(M197=1,P197=1),"① 최우선 지원",IF(P197=1,"② 예방 대상",IF(M197=1,"③ 구조적 공백","④ 관찰")))</f>
        <v>③ 구조적 공백</v>
      </c>
      <c r="R197" s="9" t="n">
        <v>0.0906</v>
      </c>
      <c r="S197" s="2" t="n">
        <f aca="false">RANK(R197,$R$2:$R$230,0)</f>
        <v>211</v>
      </c>
    </row>
    <row r="198" customFormat="false" ht="15" hidden="false" customHeight="false" outlineLevel="0" collapsed="false">
      <c r="A198" s="2" t="s">
        <v>493</v>
      </c>
      <c r="B198" s="3" t="s">
        <v>90</v>
      </c>
      <c r="C198" s="3" t="s">
        <v>494</v>
      </c>
      <c r="D198" s="2" t="n">
        <v>2025</v>
      </c>
      <c r="E198" s="2" t="n">
        <v>2028</v>
      </c>
      <c r="F198" s="2" t="n">
        <v>515</v>
      </c>
      <c r="G198" s="2" t="n">
        <v>10</v>
      </c>
      <c r="H198" s="8" t="n">
        <v>19.4174757281553</v>
      </c>
      <c r="I198" s="2" t="n">
        <v>0</v>
      </c>
      <c r="J198" s="2" t="n">
        <v>0</v>
      </c>
      <c r="K198" s="2" t="n">
        <f aca="false">IF(H198&lt;=PERCENTILE($H$2:$H$230,설명!$B$26),1,0)</f>
        <v>0</v>
      </c>
      <c r="L198" s="2" t="n">
        <f aca="false">IF(I198=0,1,0)</f>
        <v>1</v>
      </c>
      <c r="M198" s="2" t="n">
        <f aca="false">L198</f>
        <v>1</v>
      </c>
      <c r="N198" s="9" t="n">
        <v>0.1027</v>
      </c>
      <c r="O198" s="2" t="n">
        <f aca="false">RANK(N198,$N$2:$N$230,0)</f>
        <v>197</v>
      </c>
      <c r="P198" s="2" t="n">
        <f aca="false">IF(O198&lt;=설명!$B$25,1,0)</f>
        <v>0</v>
      </c>
      <c r="Q198" s="2" t="str">
        <f aca="false">IF(AND(M198=1,P198=1),"① 최우선 지원",IF(P198=1,"② 예방 대상",IF(M198=1,"③ 구조적 공백","④ 관찰")))</f>
        <v>③ 구조적 공백</v>
      </c>
      <c r="R198" s="9" t="n">
        <v>0.1036</v>
      </c>
      <c r="S198" s="2" t="n">
        <f aca="false">RANK(R198,$R$2:$R$230,0)</f>
        <v>198</v>
      </c>
    </row>
    <row r="199" customFormat="false" ht="15" hidden="false" customHeight="false" outlineLevel="0" collapsed="false">
      <c r="A199" s="2" t="s">
        <v>461</v>
      </c>
      <c r="B199" s="3" t="s">
        <v>120</v>
      </c>
      <c r="C199" s="3" t="s">
        <v>462</v>
      </c>
      <c r="D199" s="2" t="n">
        <v>2025</v>
      </c>
      <c r="E199" s="2" t="n">
        <v>2028</v>
      </c>
      <c r="F199" s="2" t="n">
        <v>9600</v>
      </c>
      <c r="G199" s="2" t="n">
        <v>152</v>
      </c>
      <c r="H199" s="8" t="n">
        <v>15.8333333333333</v>
      </c>
      <c r="I199" s="2" t="n">
        <v>17</v>
      </c>
      <c r="J199" s="2" t="n">
        <v>54</v>
      </c>
      <c r="K199" s="2" t="n">
        <f aca="false">IF(H199&lt;=PERCENTILE($H$2:$H$230,설명!$B$26),1,0)</f>
        <v>0</v>
      </c>
      <c r="L199" s="2" t="n">
        <f aca="false">IF(I199=0,1,0)</f>
        <v>0</v>
      </c>
      <c r="M199" s="2" t="n">
        <f aca="false">L199</f>
        <v>0</v>
      </c>
      <c r="N199" s="9" t="n">
        <v>0.1016</v>
      </c>
      <c r="O199" s="2" t="n">
        <f aca="false">RANK(N199,$N$2:$N$230,0)</f>
        <v>198</v>
      </c>
      <c r="P199" s="2" t="n">
        <f aca="false">IF(O199&lt;=설명!$B$25,1,0)</f>
        <v>0</v>
      </c>
      <c r="Q199" s="2" t="str">
        <f aca="false">IF(AND(M199=1,P199=1),"① 최우선 지원",IF(P199=1,"② 예방 대상",IF(M199=1,"③ 구조적 공백","④ 관찰")))</f>
        <v>④ 관찰</v>
      </c>
      <c r="R199" s="9" t="n">
        <v>0.1064</v>
      </c>
      <c r="S199" s="2" t="n">
        <f aca="false">RANK(R199,$R$2:$R$230,0)</f>
        <v>196</v>
      </c>
    </row>
    <row r="200" customFormat="false" ht="15" hidden="false" customHeight="false" outlineLevel="0" collapsed="false">
      <c r="A200" s="2" t="s">
        <v>459</v>
      </c>
      <c r="B200" s="3" t="s">
        <v>120</v>
      </c>
      <c r="C200" s="3" t="s">
        <v>460</v>
      </c>
      <c r="D200" s="2" t="n">
        <v>2025</v>
      </c>
      <c r="E200" s="2" t="n">
        <v>2028</v>
      </c>
      <c r="F200" s="2" t="n">
        <v>9273</v>
      </c>
      <c r="G200" s="2" t="n">
        <v>133</v>
      </c>
      <c r="H200" s="8" t="n">
        <v>14.3427154103311</v>
      </c>
      <c r="I200" s="2" t="n">
        <v>19</v>
      </c>
      <c r="J200" s="2" t="n">
        <v>39</v>
      </c>
      <c r="K200" s="2" t="n">
        <f aca="false">IF(H200&lt;=PERCENTILE($H$2:$H$230,설명!$B$26),1,0)</f>
        <v>1</v>
      </c>
      <c r="L200" s="2" t="n">
        <f aca="false">IF(I200=0,1,0)</f>
        <v>0</v>
      </c>
      <c r="M200" s="2" t="n">
        <f aca="false">L200</f>
        <v>0</v>
      </c>
      <c r="N200" s="9" t="n">
        <v>0.0999</v>
      </c>
      <c r="O200" s="2" t="n">
        <f aca="false">RANK(N200,$N$2:$N$230,0)</f>
        <v>199</v>
      </c>
      <c r="P200" s="2" t="n">
        <f aca="false">IF(O200&lt;=설명!$B$25,1,0)</f>
        <v>0</v>
      </c>
      <c r="Q200" s="2" t="str">
        <f aca="false">IF(AND(M200=1,P200=1),"① 최우선 지원",IF(P200=1,"② 예방 대상",IF(M200=1,"③ 구조적 공백","④ 관찰")))</f>
        <v>④ 관찰</v>
      </c>
      <c r="R200" s="9" t="n">
        <v>0.0918</v>
      </c>
      <c r="S200" s="2" t="n">
        <f aca="false">RANK(R200,$R$2:$R$230,0)</f>
        <v>208</v>
      </c>
    </row>
    <row r="201" customFormat="false" ht="15" hidden="false" customHeight="false" outlineLevel="0" collapsed="false">
      <c r="A201" s="2" t="s">
        <v>439</v>
      </c>
      <c r="B201" s="3" t="s">
        <v>63</v>
      </c>
      <c r="C201" s="3" t="s">
        <v>440</v>
      </c>
      <c r="D201" s="2" t="n">
        <v>2025</v>
      </c>
      <c r="E201" s="2" t="n">
        <v>2028</v>
      </c>
      <c r="F201" s="2" t="n">
        <v>928</v>
      </c>
      <c r="G201" s="2" t="n">
        <v>19</v>
      </c>
      <c r="H201" s="8" t="n">
        <v>20.4741379310345</v>
      </c>
      <c r="I201" s="2" t="n">
        <v>0</v>
      </c>
      <c r="J201" s="2" t="n">
        <v>2</v>
      </c>
      <c r="K201" s="2" t="n">
        <f aca="false">IF(H201&lt;=PERCENTILE($H$2:$H$230,설명!$B$26),1,0)</f>
        <v>0</v>
      </c>
      <c r="L201" s="2" t="n">
        <f aca="false">IF(I201=0,1,0)</f>
        <v>1</v>
      </c>
      <c r="M201" s="2" t="n">
        <f aca="false">L201</f>
        <v>1</v>
      </c>
      <c r="N201" s="9" t="n">
        <v>0.0993</v>
      </c>
      <c r="O201" s="2" t="n">
        <f aca="false">RANK(N201,$N$2:$N$230,0)</f>
        <v>200</v>
      </c>
      <c r="P201" s="2" t="n">
        <f aca="false">IF(O201&lt;=설명!$B$25,1,0)</f>
        <v>0</v>
      </c>
      <c r="Q201" s="2" t="str">
        <f aca="false">IF(AND(M201=1,P201=1),"① 최우선 지원",IF(P201=1,"② 예방 대상",IF(M201=1,"③ 구조적 공백","④ 관찰")))</f>
        <v>③ 구조적 공백</v>
      </c>
      <c r="R201" s="9" t="n">
        <v>0.108</v>
      </c>
      <c r="S201" s="2" t="n">
        <f aca="false">RANK(R201,$R$2:$R$230,0)</f>
        <v>194</v>
      </c>
    </row>
    <row r="202" customFormat="false" ht="15" hidden="false" customHeight="false" outlineLevel="0" collapsed="false">
      <c r="A202" s="2" t="s">
        <v>471</v>
      </c>
      <c r="B202" s="3" t="s">
        <v>120</v>
      </c>
      <c r="C202" s="3" t="s">
        <v>472</v>
      </c>
      <c r="D202" s="2" t="n">
        <v>2025</v>
      </c>
      <c r="E202" s="2" t="n">
        <v>2028</v>
      </c>
      <c r="F202" s="2" t="n">
        <v>15375</v>
      </c>
      <c r="G202" s="2" t="n">
        <v>166</v>
      </c>
      <c r="H202" s="8" t="n">
        <v>10.7967479674797</v>
      </c>
      <c r="I202" s="2" t="n">
        <v>38</v>
      </c>
      <c r="J202" s="2" t="n">
        <v>207</v>
      </c>
      <c r="K202" s="2" t="n">
        <f aca="false">IF(H202&lt;=PERCENTILE($H$2:$H$230,설명!$B$26),1,0)</f>
        <v>1</v>
      </c>
      <c r="L202" s="2" t="n">
        <f aca="false">IF(I202=0,1,0)</f>
        <v>0</v>
      </c>
      <c r="M202" s="2" t="n">
        <f aca="false">L202</f>
        <v>0</v>
      </c>
      <c r="N202" s="9" t="n">
        <v>0.0983</v>
      </c>
      <c r="O202" s="2" t="n">
        <f aca="false">RANK(N202,$N$2:$N$230,0)</f>
        <v>201</v>
      </c>
      <c r="P202" s="2" t="n">
        <f aca="false">IF(O202&lt;=설명!$B$25,1,0)</f>
        <v>0</v>
      </c>
      <c r="Q202" s="2" t="str">
        <f aca="false">IF(AND(M202=1,P202=1),"① 최우선 지원",IF(P202=1,"② 예방 대상",IF(M202=1,"③ 구조적 공백","④ 관찰")))</f>
        <v>④ 관찰</v>
      </c>
      <c r="R202" s="9" t="n">
        <v>0.1174</v>
      </c>
      <c r="S202" s="2" t="n">
        <f aca="false">RANK(R202,$R$2:$R$230,0)</f>
        <v>185</v>
      </c>
    </row>
    <row r="203" customFormat="false" ht="15" hidden="false" customHeight="false" outlineLevel="0" collapsed="false">
      <c r="A203" s="2" t="s">
        <v>479</v>
      </c>
      <c r="B203" s="3" t="s">
        <v>66</v>
      </c>
      <c r="C203" s="3" t="s">
        <v>480</v>
      </c>
      <c r="D203" s="2" t="n">
        <v>2025</v>
      </c>
      <c r="E203" s="2" t="n">
        <v>2028</v>
      </c>
      <c r="F203" s="2" t="n">
        <v>20005</v>
      </c>
      <c r="G203" s="2" t="n">
        <v>324</v>
      </c>
      <c r="H203" s="8" t="n">
        <v>16.1959510122469</v>
      </c>
      <c r="I203" s="2" t="n">
        <v>28</v>
      </c>
      <c r="J203" s="2" t="n">
        <v>74</v>
      </c>
      <c r="K203" s="2" t="n">
        <f aca="false">IF(H203&lt;=PERCENTILE($H$2:$H$230,설명!$B$26),1,0)</f>
        <v>0</v>
      </c>
      <c r="L203" s="2" t="n">
        <f aca="false">IF(I203=0,1,0)</f>
        <v>0</v>
      </c>
      <c r="M203" s="2" t="n">
        <f aca="false">L203</f>
        <v>0</v>
      </c>
      <c r="N203" s="9" t="n">
        <v>0.0981</v>
      </c>
      <c r="O203" s="2" t="n">
        <f aca="false">RANK(N203,$N$2:$N$230,0)</f>
        <v>202</v>
      </c>
      <c r="P203" s="2" t="n">
        <f aca="false">IF(O203&lt;=설명!$B$25,1,0)</f>
        <v>0</v>
      </c>
      <c r="Q203" s="2" t="str">
        <f aca="false">IF(AND(M203=1,P203=1),"① 최우선 지원",IF(P203=1,"② 예방 대상",IF(M203=1,"③ 구조적 공백","④ 관찰")))</f>
        <v>④ 관찰</v>
      </c>
      <c r="R203" s="9" t="n">
        <v>0.0932</v>
      </c>
      <c r="S203" s="2" t="n">
        <f aca="false">RANK(R203,$R$2:$R$230,0)</f>
        <v>207</v>
      </c>
    </row>
    <row r="204" customFormat="false" ht="15" hidden="false" customHeight="false" outlineLevel="0" collapsed="false">
      <c r="A204" s="2" t="s">
        <v>477</v>
      </c>
      <c r="B204" s="3" t="s">
        <v>66</v>
      </c>
      <c r="C204" s="3" t="s">
        <v>478</v>
      </c>
      <c r="D204" s="2" t="n">
        <v>2025</v>
      </c>
      <c r="E204" s="2" t="n">
        <v>2028</v>
      </c>
      <c r="F204" s="2" t="n">
        <v>25533</v>
      </c>
      <c r="G204" s="2" t="n">
        <v>380</v>
      </c>
      <c r="H204" s="8" t="n">
        <v>14.8827008185486</v>
      </c>
      <c r="I204" s="2" t="n">
        <v>22</v>
      </c>
      <c r="J204" s="2" t="n">
        <v>62</v>
      </c>
      <c r="K204" s="2" t="n">
        <f aca="false">IF(H204&lt;=PERCENTILE($H$2:$H$230,설명!$B$26),1,0)</f>
        <v>1</v>
      </c>
      <c r="L204" s="2" t="n">
        <f aca="false">IF(I204=0,1,0)</f>
        <v>0</v>
      </c>
      <c r="M204" s="2" t="n">
        <f aca="false">L204</f>
        <v>0</v>
      </c>
      <c r="N204" s="9" t="n">
        <v>0.0977</v>
      </c>
      <c r="O204" s="2" t="n">
        <f aca="false">RANK(N204,$N$2:$N$230,0)</f>
        <v>203</v>
      </c>
      <c r="P204" s="2" t="n">
        <f aca="false">IF(O204&lt;=설명!$B$25,1,0)</f>
        <v>0</v>
      </c>
      <c r="Q204" s="2" t="str">
        <f aca="false">IF(AND(M204=1,P204=1),"① 최우선 지원",IF(P204=1,"② 예방 대상",IF(M204=1,"③ 구조적 공백","④ 관찰")))</f>
        <v>④ 관찰</v>
      </c>
      <c r="R204" s="9" t="n">
        <v>0.1001</v>
      </c>
      <c r="S204" s="2" t="n">
        <f aca="false">RANK(R204,$R$2:$R$230,0)</f>
        <v>202</v>
      </c>
    </row>
    <row r="205" customFormat="false" ht="15" hidden="false" customHeight="false" outlineLevel="0" collapsed="false">
      <c r="A205" s="2" t="s">
        <v>455</v>
      </c>
      <c r="B205" s="3" t="s">
        <v>199</v>
      </c>
      <c r="C205" s="3" t="s">
        <v>456</v>
      </c>
      <c r="D205" s="2" t="n">
        <v>2025</v>
      </c>
      <c r="E205" s="2" t="n">
        <v>2028</v>
      </c>
      <c r="F205" s="2" t="n">
        <v>556</v>
      </c>
      <c r="G205" s="2" t="n">
        <v>10</v>
      </c>
      <c r="H205" s="8" t="n">
        <v>17.9856115107914</v>
      </c>
      <c r="I205" s="2" t="n">
        <v>0</v>
      </c>
      <c r="J205" s="2" t="n">
        <v>1</v>
      </c>
      <c r="K205" s="2" t="n">
        <f aca="false">IF(H205&lt;=PERCENTILE($H$2:$H$230,설명!$B$26),1,0)</f>
        <v>0</v>
      </c>
      <c r="L205" s="2" t="n">
        <f aca="false">IF(I205=0,1,0)</f>
        <v>1</v>
      </c>
      <c r="M205" s="2" t="n">
        <f aca="false">L205</f>
        <v>1</v>
      </c>
      <c r="N205" s="9" t="n">
        <v>0.0952</v>
      </c>
      <c r="O205" s="2" t="n">
        <f aca="false">RANK(N205,$N$2:$N$230,0)</f>
        <v>204</v>
      </c>
      <c r="P205" s="2" t="n">
        <f aca="false">IF(O205&lt;=설명!$B$25,1,0)</f>
        <v>0</v>
      </c>
      <c r="Q205" s="2" t="str">
        <f aca="false">IF(AND(M205=1,P205=1),"① 최우선 지원",IF(P205=1,"② 예방 대상",IF(M205=1,"③ 구조적 공백","④ 관찰")))</f>
        <v>③ 구조적 공백</v>
      </c>
      <c r="R205" s="9" t="n">
        <v>0.1021</v>
      </c>
      <c r="S205" s="2" t="n">
        <f aca="false">RANK(R205,$R$2:$R$230,0)</f>
        <v>199</v>
      </c>
    </row>
    <row r="206" customFormat="false" ht="15" hidden="false" customHeight="false" outlineLevel="0" collapsed="false">
      <c r="A206" s="2" t="s">
        <v>469</v>
      </c>
      <c r="B206" s="3" t="s">
        <v>199</v>
      </c>
      <c r="C206" s="3" t="s">
        <v>470</v>
      </c>
      <c r="D206" s="2" t="n">
        <v>2025</v>
      </c>
      <c r="E206" s="2" t="n">
        <v>2028</v>
      </c>
      <c r="F206" s="2" t="n">
        <v>353</v>
      </c>
      <c r="G206" s="2" t="n">
        <v>11</v>
      </c>
      <c r="H206" s="8" t="n">
        <v>31.1614730878187</v>
      </c>
      <c r="I206" s="2" t="n">
        <v>0</v>
      </c>
      <c r="J206" s="2" t="n">
        <v>0</v>
      </c>
      <c r="K206" s="2" t="n">
        <f aca="false">IF(H206&lt;=PERCENTILE($H$2:$H$230,설명!$B$26),1,0)</f>
        <v>0</v>
      </c>
      <c r="L206" s="2" t="n">
        <f aca="false">IF(I206=0,1,0)</f>
        <v>1</v>
      </c>
      <c r="M206" s="2" t="n">
        <f aca="false">L206</f>
        <v>1</v>
      </c>
      <c r="N206" s="9" t="n">
        <v>0.0929</v>
      </c>
      <c r="O206" s="2" t="n">
        <f aca="false">RANK(N206,$N$2:$N$230,0)</f>
        <v>205</v>
      </c>
      <c r="P206" s="2" t="n">
        <f aca="false">IF(O206&lt;=설명!$B$25,1,0)</f>
        <v>0</v>
      </c>
      <c r="Q206" s="2" t="str">
        <f aca="false">IF(AND(M206=1,P206=1),"① 최우선 지원",IF(P206=1,"② 예방 대상",IF(M206=1,"③ 구조적 공백","④ 관찰")))</f>
        <v>③ 구조적 공백</v>
      </c>
      <c r="R206" s="9" t="n">
        <v>0.0958</v>
      </c>
      <c r="S206" s="2" t="n">
        <f aca="false">RANK(R206,$R$2:$R$230,0)</f>
        <v>205</v>
      </c>
    </row>
    <row r="207" customFormat="false" ht="15" hidden="false" customHeight="false" outlineLevel="0" collapsed="false">
      <c r="A207" s="2" t="s">
        <v>377</v>
      </c>
      <c r="B207" s="3" t="s">
        <v>63</v>
      </c>
      <c r="C207" s="3" t="s">
        <v>378</v>
      </c>
      <c r="D207" s="2" t="n">
        <v>2025</v>
      </c>
      <c r="E207" s="2" t="n">
        <v>2028</v>
      </c>
      <c r="F207" s="2" t="n">
        <v>762</v>
      </c>
      <c r="G207" s="2" t="n">
        <v>18</v>
      </c>
      <c r="H207" s="8" t="n">
        <v>23.6220472440945</v>
      </c>
      <c r="I207" s="2" t="n">
        <v>0</v>
      </c>
      <c r="J207" s="2" t="n">
        <v>1</v>
      </c>
      <c r="K207" s="2" t="n">
        <f aca="false">IF(H207&lt;=PERCENTILE($H$2:$H$230,설명!$B$26),1,0)</f>
        <v>0</v>
      </c>
      <c r="L207" s="2" t="n">
        <f aca="false">IF(I207=0,1,0)</f>
        <v>1</v>
      </c>
      <c r="M207" s="2" t="n">
        <f aca="false">L207</f>
        <v>1</v>
      </c>
      <c r="N207" s="9" t="n">
        <v>0.0916</v>
      </c>
      <c r="O207" s="2" t="n">
        <f aca="false">RANK(N207,$N$2:$N$230,0)</f>
        <v>206</v>
      </c>
      <c r="P207" s="2" t="n">
        <f aca="false">IF(O207&lt;=설명!$B$25,1,0)</f>
        <v>0</v>
      </c>
      <c r="Q207" s="2" t="str">
        <f aca="false">IF(AND(M207=1,P207=1),"① 최우선 지원",IF(P207=1,"② 예방 대상",IF(M207=1,"③ 구조적 공백","④ 관찰")))</f>
        <v>③ 구조적 공백</v>
      </c>
      <c r="R207" s="9" t="n">
        <v>0.0908</v>
      </c>
      <c r="S207" s="2" t="n">
        <f aca="false">RANK(R207,$R$2:$R$230,0)</f>
        <v>210</v>
      </c>
    </row>
    <row r="208" customFormat="false" ht="15" hidden="false" customHeight="false" outlineLevel="0" collapsed="false">
      <c r="A208" s="2" t="s">
        <v>387</v>
      </c>
      <c r="B208" s="3" t="s">
        <v>204</v>
      </c>
      <c r="C208" s="3" t="s">
        <v>388</v>
      </c>
      <c r="D208" s="2" t="n">
        <v>2025</v>
      </c>
      <c r="E208" s="2" t="n">
        <v>2028</v>
      </c>
      <c r="F208" s="2" t="n">
        <v>1258</v>
      </c>
      <c r="G208" s="2" t="n">
        <v>22</v>
      </c>
      <c r="H208" s="8" t="n">
        <v>17.4880763116057</v>
      </c>
      <c r="I208" s="2" t="n">
        <v>0</v>
      </c>
      <c r="J208" s="2" t="n">
        <v>1</v>
      </c>
      <c r="K208" s="2" t="n">
        <f aca="false">IF(H208&lt;=PERCENTILE($H$2:$H$230,설명!$B$26),1,0)</f>
        <v>0</v>
      </c>
      <c r="L208" s="2" t="n">
        <f aca="false">IF(I208=0,1,0)</f>
        <v>1</v>
      </c>
      <c r="M208" s="2" t="n">
        <f aca="false">L208</f>
        <v>1</v>
      </c>
      <c r="N208" s="9" t="n">
        <v>0.0911</v>
      </c>
      <c r="O208" s="2" t="n">
        <f aca="false">RANK(N208,$N$2:$N$230,0)</f>
        <v>207</v>
      </c>
      <c r="P208" s="2" t="n">
        <f aca="false">IF(O208&lt;=설명!$B$25,1,0)</f>
        <v>0</v>
      </c>
      <c r="Q208" s="2" t="str">
        <f aca="false">IF(AND(M208=1,P208=1),"① 최우선 지원",IF(P208=1,"② 예방 대상",IF(M208=1,"③ 구조적 공백","④ 관찰")))</f>
        <v>③ 구조적 공백</v>
      </c>
      <c r="R208" s="9" t="n">
        <v>0.1381</v>
      </c>
      <c r="S208" s="2" t="n">
        <f aca="false">RANK(R208,$R$2:$R$230,0)</f>
        <v>160</v>
      </c>
    </row>
    <row r="209" customFormat="false" ht="15" hidden="false" customHeight="false" outlineLevel="0" collapsed="false">
      <c r="A209" s="2" t="s">
        <v>495</v>
      </c>
      <c r="B209" s="3" t="s">
        <v>153</v>
      </c>
      <c r="C209" s="3" t="s">
        <v>496</v>
      </c>
      <c r="D209" s="2" t="n">
        <v>2025</v>
      </c>
      <c r="E209" s="2" t="n">
        <v>2028</v>
      </c>
      <c r="F209" s="2" t="n">
        <v>853</v>
      </c>
      <c r="G209" s="2" t="n">
        <v>18</v>
      </c>
      <c r="H209" s="8" t="n">
        <v>21.1019929660024</v>
      </c>
      <c r="I209" s="2" t="n">
        <v>0</v>
      </c>
      <c r="J209" s="2" t="n">
        <v>2</v>
      </c>
      <c r="K209" s="2" t="n">
        <f aca="false">IF(H209&lt;=PERCENTILE($H$2:$H$230,설명!$B$26),1,0)</f>
        <v>0</v>
      </c>
      <c r="L209" s="2" t="n">
        <f aca="false">IF(I209=0,1,0)</f>
        <v>1</v>
      </c>
      <c r="M209" s="2" t="n">
        <f aca="false">L209</f>
        <v>1</v>
      </c>
      <c r="N209" s="9" t="n">
        <v>0.0906</v>
      </c>
      <c r="O209" s="2" t="n">
        <f aca="false">RANK(N209,$N$2:$N$230,0)</f>
        <v>208</v>
      </c>
      <c r="P209" s="2" t="n">
        <f aca="false">IF(O209&lt;=설명!$B$25,1,0)</f>
        <v>0</v>
      </c>
      <c r="Q209" s="2" t="str">
        <f aca="false">IF(AND(M209=1,P209=1),"① 최우선 지원",IF(P209=1,"② 예방 대상",IF(M209=1,"③ 구조적 공백","④ 관찰")))</f>
        <v>③ 구조적 공백</v>
      </c>
      <c r="R209" s="9" t="n">
        <v>0.114</v>
      </c>
      <c r="S209" s="2" t="n">
        <f aca="false">RANK(R209,$R$2:$R$230,0)</f>
        <v>191</v>
      </c>
    </row>
    <row r="210" customFormat="false" ht="15" hidden="false" customHeight="false" outlineLevel="0" collapsed="false">
      <c r="A210" s="2" t="s">
        <v>437</v>
      </c>
      <c r="B210" s="3" t="s">
        <v>66</v>
      </c>
      <c r="C210" s="3" t="s">
        <v>438</v>
      </c>
      <c r="D210" s="2" t="n">
        <v>2025</v>
      </c>
      <c r="E210" s="2" t="n">
        <v>2028</v>
      </c>
      <c r="F210" s="2" t="n">
        <v>4297</v>
      </c>
      <c r="G210" s="2" t="n">
        <v>59</v>
      </c>
      <c r="H210" s="8" t="n">
        <v>13.7305096579009</v>
      </c>
      <c r="I210" s="2" t="n">
        <v>4</v>
      </c>
      <c r="J210" s="2" t="n">
        <v>6</v>
      </c>
      <c r="K210" s="2" t="n">
        <f aca="false">IF(H210&lt;=PERCENTILE($H$2:$H$230,설명!$B$26),1,0)</f>
        <v>1</v>
      </c>
      <c r="L210" s="2" t="n">
        <f aca="false">IF(I210=0,1,0)</f>
        <v>0</v>
      </c>
      <c r="M210" s="2" t="n">
        <f aca="false">L210</f>
        <v>0</v>
      </c>
      <c r="N210" s="9" t="n">
        <v>0.088</v>
      </c>
      <c r="O210" s="2" t="n">
        <f aca="false">RANK(N210,$N$2:$N$230,0)</f>
        <v>209</v>
      </c>
      <c r="P210" s="2" t="n">
        <f aca="false">IF(O210&lt;=설명!$B$25,1,0)</f>
        <v>0</v>
      </c>
      <c r="Q210" s="2" t="str">
        <f aca="false">IF(AND(M210=1,P210=1),"① 최우선 지원",IF(P210=1,"② 예방 대상",IF(M210=1,"③ 구조적 공백","④ 관찰")))</f>
        <v>④ 관찰</v>
      </c>
      <c r="R210" s="9" t="n">
        <v>0.0906</v>
      </c>
      <c r="S210" s="2" t="n">
        <f aca="false">RANK(R210,$R$2:$R$230,0)</f>
        <v>211</v>
      </c>
    </row>
    <row r="211" customFormat="false" ht="15" hidden="false" customHeight="false" outlineLevel="0" collapsed="false">
      <c r="A211" s="2" t="s">
        <v>308</v>
      </c>
      <c r="B211" s="3" t="s">
        <v>120</v>
      </c>
      <c r="C211" s="3" t="s">
        <v>309</v>
      </c>
      <c r="D211" s="2" t="n">
        <v>2025</v>
      </c>
      <c r="E211" s="2" t="n">
        <v>2028</v>
      </c>
      <c r="F211" s="2" t="n">
        <v>9969</v>
      </c>
      <c r="G211" s="2" t="n">
        <v>169</v>
      </c>
      <c r="H211" s="8" t="n">
        <v>16.9525529140335</v>
      </c>
      <c r="I211" s="2" t="n">
        <v>16</v>
      </c>
      <c r="J211" s="2" t="n">
        <v>50</v>
      </c>
      <c r="K211" s="2" t="n">
        <f aca="false">IF(H211&lt;=PERCENTILE($H$2:$H$230,설명!$B$26),1,0)</f>
        <v>0</v>
      </c>
      <c r="L211" s="2" t="n">
        <f aca="false">IF(I211=0,1,0)</f>
        <v>0</v>
      </c>
      <c r="M211" s="2" t="n">
        <f aca="false">L211</f>
        <v>0</v>
      </c>
      <c r="N211" s="9" t="n">
        <v>0.0875</v>
      </c>
      <c r="O211" s="2" t="n">
        <f aca="false">RANK(N211,$N$2:$N$230,0)</f>
        <v>210</v>
      </c>
      <c r="P211" s="2" t="n">
        <f aca="false">IF(O211&lt;=설명!$B$25,1,0)</f>
        <v>0</v>
      </c>
      <c r="Q211" s="2" t="str">
        <f aca="false">IF(AND(M211=1,P211=1),"① 최우선 지원",IF(P211=1,"② 예방 대상",IF(M211=1,"③ 구조적 공백","④ 관찰")))</f>
        <v>④ 관찰</v>
      </c>
      <c r="R211" s="9" t="n">
        <v>0.1021</v>
      </c>
      <c r="S211" s="2" t="n">
        <f aca="false">RANK(R211,$R$2:$R$230,0)</f>
        <v>199</v>
      </c>
    </row>
    <row r="212" customFormat="false" ht="15" hidden="false" customHeight="false" outlineLevel="0" collapsed="false">
      <c r="A212" s="2" t="s">
        <v>463</v>
      </c>
      <c r="B212" s="3" t="s">
        <v>120</v>
      </c>
      <c r="C212" s="3" t="s">
        <v>464</v>
      </c>
      <c r="D212" s="2" t="n">
        <v>2025</v>
      </c>
      <c r="E212" s="2" t="n">
        <v>2028</v>
      </c>
      <c r="F212" s="2" t="n">
        <v>11601</v>
      </c>
      <c r="G212" s="2" t="n">
        <v>196</v>
      </c>
      <c r="H212" s="8" t="n">
        <v>16.8950952504095</v>
      </c>
      <c r="I212" s="2" t="n">
        <v>21</v>
      </c>
      <c r="J212" s="2" t="n">
        <v>48</v>
      </c>
      <c r="K212" s="2" t="n">
        <f aca="false">IF(H212&lt;=PERCENTILE($H$2:$H$230,설명!$B$26),1,0)</f>
        <v>0</v>
      </c>
      <c r="L212" s="2" t="n">
        <f aca="false">IF(I212=0,1,0)</f>
        <v>0</v>
      </c>
      <c r="M212" s="2" t="n">
        <f aca="false">L212</f>
        <v>0</v>
      </c>
      <c r="N212" s="9" t="n">
        <v>0.0862</v>
      </c>
      <c r="O212" s="2" t="n">
        <f aca="false">RANK(N212,$N$2:$N$230,0)</f>
        <v>211</v>
      </c>
      <c r="P212" s="2" t="n">
        <f aca="false">IF(O212&lt;=설명!$B$25,1,0)</f>
        <v>0</v>
      </c>
      <c r="Q212" s="2" t="str">
        <f aca="false">IF(AND(M212=1,P212=1),"① 최우선 지원",IF(P212=1,"② 예방 대상",IF(M212=1,"③ 구조적 공백","④ 관찰")))</f>
        <v>④ 관찰</v>
      </c>
      <c r="R212" s="9" t="n">
        <v>0.0934</v>
      </c>
      <c r="S212" s="2" t="n">
        <f aca="false">RANK(R212,$R$2:$R$230,0)</f>
        <v>206</v>
      </c>
    </row>
    <row r="213" customFormat="false" ht="15" hidden="false" customHeight="false" outlineLevel="0" collapsed="false">
      <c r="A213" s="2" t="s">
        <v>192</v>
      </c>
      <c r="B213" s="3" t="s">
        <v>66</v>
      </c>
      <c r="C213" s="3" t="s">
        <v>193</v>
      </c>
      <c r="D213" s="2" t="n">
        <v>2025</v>
      </c>
      <c r="E213" s="2" t="n">
        <v>2028</v>
      </c>
      <c r="F213" s="2" t="n">
        <v>9852</v>
      </c>
      <c r="G213" s="2" t="n">
        <v>168</v>
      </c>
      <c r="H213" s="8" t="n">
        <v>17.0523751522534</v>
      </c>
      <c r="I213" s="2" t="n">
        <v>14</v>
      </c>
      <c r="J213" s="2" t="n">
        <v>48</v>
      </c>
      <c r="K213" s="2" t="n">
        <f aca="false">IF(H213&lt;=PERCENTILE($H$2:$H$230,설명!$B$26),1,0)</f>
        <v>0</v>
      </c>
      <c r="L213" s="2" t="n">
        <f aca="false">IF(I213=0,1,0)</f>
        <v>0</v>
      </c>
      <c r="M213" s="2" t="n">
        <f aca="false">L213</f>
        <v>0</v>
      </c>
      <c r="N213" s="9" t="n">
        <v>0.0838</v>
      </c>
      <c r="O213" s="2" t="n">
        <f aca="false">RANK(N213,$N$2:$N$230,0)</f>
        <v>212</v>
      </c>
      <c r="P213" s="2" t="n">
        <f aca="false">IF(O213&lt;=설명!$B$25,1,0)</f>
        <v>0</v>
      </c>
      <c r="Q213" s="2" t="str">
        <f aca="false">IF(AND(M213=1,P213=1),"① 최우선 지원",IF(P213=1,"② 예방 대상",IF(M213=1,"③ 구조적 공백","④ 관찰")))</f>
        <v>④ 관찰</v>
      </c>
      <c r="R213" s="9" t="n">
        <v>0.1068</v>
      </c>
      <c r="S213" s="2" t="n">
        <f aca="false">RANK(R213,$R$2:$R$230,0)</f>
        <v>195</v>
      </c>
    </row>
    <row r="214" customFormat="false" ht="15" hidden="false" customHeight="false" outlineLevel="0" collapsed="false">
      <c r="A214" s="2" t="s">
        <v>412</v>
      </c>
      <c r="B214" s="3" t="s">
        <v>76</v>
      </c>
      <c r="C214" s="3" t="s">
        <v>413</v>
      </c>
      <c r="D214" s="2" t="n">
        <v>2025</v>
      </c>
      <c r="E214" s="2" t="n">
        <v>2028</v>
      </c>
      <c r="F214" s="2" t="n">
        <v>383</v>
      </c>
      <c r="G214" s="2" t="n">
        <v>8</v>
      </c>
      <c r="H214" s="8" t="n">
        <v>20.88772845953</v>
      </c>
      <c r="I214" s="2" t="n">
        <v>0</v>
      </c>
      <c r="J214" s="2" t="n">
        <v>1</v>
      </c>
      <c r="K214" s="2" t="n">
        <f aca="false">IF(H214&lt;=PERCENTILE($H$2:$H$230,설명!$B$26),1,0)</f>
        <v>0</v>
      </c>
      <c r="L214" s="2" t="n">
        <f aca="false">IF(I214=0,1,0)</f>
        <v>1</v>
      </c>
      <c r="M214" s="2" t="n">
        <f aca="false">L214</f>
        <v>1</v>
      </c>
      <c r="N214" s="9" t="n">
        <v>0.0779</v>
      </c>
      <c r="O214" s="2" t="n">
        <f aca="false">RANK(N214,$N$2:$N$230,0)</f>
        <v>213</v>
      </c>
      <c r="P214" s="2" t="n">
        <f aca="false">IF(O214&lt;=설명!$B$25,1,0)</f>
        <v>0</v>
      </c>
      <c r="Q214" s="2" t="str">
        <f aca="false">IF(AND(M214=1,P214=1),"① 최우선 지원",IF(P214=1,"② 예방 대상",IF(M214=1,"③ 구조적 공백","④ 관찰")))</f>
        <v>③ 구조적 공백</v>
      </c>
      <c r="R214" s="9" t="n">
        <v>0.1009</v>
      </c>
      <c r="S214" s="2" t="n">
        <f aca="false">RANK(R214,$R$2:$R$230,0)</f>
        <v>201</v>
      </c>
    </row>
    <row r="215" customFormat="false" ht="15" hidden="false" customHeight="false" outlineLevel="0" collapsed="false">
      <c r="A215" s="2" t="s">
        <v>491</v>
      </c>
      <c r="B215" s="3" t="s">
        <v>66</v>
      </c>
      <c r="C215" s="3" t="s">
        <v>492</v>
      </c>
      <c r="D215" s="2" t="n">
        <v>2025</v>
      </c>
      <c r="E215" s="2" t="n">
        <v>2028</v>
      </c>
      <c r="F215" s="2" t="n">
        <v>19925</v>
      </c>
      <c r="G215" s="2" t="n">
        <v>331</v>
      </c>
      <c r="H215" s="8" t="n">
        <v>16.6122961104141</v>
      </c>
      <c r="I215" s="2" t="n">
        <v>24</v>
      </c>
      <c r="J215" s="2" t="n">
        <v>57</v>
      </c>
      <c r="K215" s="2" t="n">
        <f aca="false">IF(H215&lt;=PERCENTILE($H$2:$H$230,설명!$B$26),1,0)</f>
        <v>0</v>
      </c>
      <c r="L215" s="2" t="n">
        <f aca="false">IF(I215=0,1,0)</f>
        <v>0</v>
      </c>
      <c r="M215" s="2" t="n">
        <f aca="false">L215</f>
        <v>0</v>
      </c>
      <c r="N215" s="9" t="n">
        <v>0.0776</v>
      </c>
      <c r="O215" s="2" t="n">
        <f aca="false">RANK(N215,$N$2:$N$230,0)</f>
        <v>214</v>
      </c>
      <c r="P215" s="2" t="n">
        <f aca="false">IF(O215&lt;=설명!$B$25,1,0)</f>
        <v>0</v>
      </c>
      <c r="Q215" s="2" t="str">
        <f aca="false">IF(AND(M215=1,P215=1),"① 최우선 지원",IF(P215=1,"② 예방 대상",IF(M215=1,"③ 구조적 공백","④ 관찰")))</f>
        <v>④ 관찰</v>
      </c>
      <c r="R215" s="9" t="n">
        <v>0.0915</v>
      </c>
      <c r="S215" s="2" t="n">
        <f aca="false">RANK(R215,$R$2:$R$230,0)</f>
        <v>209</v>
      </c>
    </row>
    <row r="216" customFormat="false" ht="15" hidden="false" customHeight="false" outlineLevel="0" collapsed="false">
      <c r="A216" s="2" t="s">
        <v>443</v>
      </c>
      <c r="B216" s="3" t="s">
        <v>63</v>
      </c>
      <c r="C216" s="3" t="s">
        <v>444</v>
      </c>
      <c r="D216" s="2" t="n">
        <v>2025</v>
      </c>
      <c r="E216" s="2" t="n">
        <v>2028</v>
      </c>
      <c r="F216" s="2" t="n">
        <v>704</v>
      </c>
      <c r="G216" s="2" t="n">
        <v>19</v>
      </c>
      <c r="H216" s="8" t="n">
        <v>26.9886363636364</v>
      </c>
      <c r="I216" s="2" t="n">
        <v>1</v>
      </c>
      <c r="J216" s="2" t="n">
        <v>1</v>
      </c>
      <c r="K216" s="2" t="n">
        <f aca="false">IF(H216&lt;=PERCENTILE($H$2:$H$230,설명!$B$26),1,0)</f>
        <v>0</v>
      </c>
      <c r="L216" s="2" t="n">
        <f aca="false">IF(I216=0,1,0)</f>
        <v>0</v>
      </c>
      <c r="M216" s="2" t="n">
        <f aca="false">L216</f>
        <v>0</v>
      </c>
      <c r="N216" s="9" t="n">
        <v>0.0774</v>
      </c>
      <c r="O216" s="2" t="n">
        <f aca="false">RANK(N216,$N$2:$N$230,0)</f>
        <v>215</v>
      </c>
      <c r="P216" s="2" t="n">
        <f aca="false">IF(O216&lt;=설명!$B$25,1,0)</f>
        <v>0</v>
      </c>
      <c r="Q216" s="2" t="str">
        <f aca="false">IF(AND(M216=1,P216=1),"① 최우선 지원",IF(P216=1,"② 예방 대상",IF(M216=1,"③ 구조적 공백","④ 관찰")))</f>
        <v>④ 관찰</v>
      </c>
      <c r="R216" s="9" t="n">
        <v>0.0677</v>
      </c>
      <c r="S216" s="2" t="n">
        <f aca="false">RANK(R216,$R$2:$R$230,0)</f>
        <v>218</v>
      </c>
    </row>
    <row r="217" customFormat="false" ht="15" hidden="false" customHeight="false" outlineLevel="0" collapsed="false">
      <c r="A217" s="2" t="s">
        <v>467</v>
      </c>
      <c r="B217" s="3" t="s">
        <v>120</v>
      </c>
      <c r="C217" s="3" t="s">
        <v>468</v>
      </c>
      <c r="D217" s="2" t="n">
        <v>2025</v>
      </c>
      <c r="E217" s="2" t="n">
        <v>2028</v>
      </c>
      <c r="F217" s="2" t="n">
        <v>13110</v>
      </c>
      <c r="G217" s="2" t="n">
        <v>160</v>
      </c>
      <c r="H217" s="8" t="n">
        <v>12.2044241037376</v>
      </c>
      <c r="I217" s="2" t="n">
        <v>21</v>
      </c>
      <c r="J217" s="2" t="n">
        <v>119</v>
      </c>
      <c r="K217" s="2" t="n">
        <f aca="false">IF(H217&lt;=PERCENTILE($H$2:$H$230,설명!$B$26),1,0)</f>
        <v>1</v>
      </c>
      <c r="L217" s="2" t="n">
        <f aca="false">IF(I217=0,1,0)</f>
        <v>0</v>
      </c>
      <c r="M217" s="2" t="n">
        <f aca="false">L217</f>
        <v>0</v>
      </c>
      <c r="N217" s="9" t="n">
        <v>0.0746</v>
      </c>
      <c r="O217" s="2" t="n">
        <f aca="false">RANK(N217,$N$2:$N$230,0)</f>
        <v>216</v>
      </c>
      <c r="P217" s="2" t="n">
        <f aca="false">IF(O217&lt;=설명!$B$25,1,0)</f>
        <v>0</v>
      </c>
      <c r="Q217" s="2" t="str">
        <f aca="false">IF(AND(M217=1,P217=1),"① 최우선 지원",IF(P217=1,"② 예방 대상",IF(M217=1,"③ 구조적 공백","④ 관찰")))</f>
        <v>④ 관찰</v>
      </c>
      <c r="R217" s="9" t="n">
        <v>0.0519</v>
      </c>
      <c r="S217" s="2" t="n">
        <f aca="false">RANK(R217,$R$2:$R$230,0)</f>
        <v>225</v>
      </c>
    </row>
    <row r="218" customFormat="false" ht="15" hidden="false" customHeight="false" outlineLevel="0" collapsed="false">
      <c r="A218" s="2" t="s">
        <v>427</v>
      </c>
      <c r="B218" s="3" t="s">
        <v>90</v>
      </c>
      <c r="C218" s="3" t="s">
        <v>428</v>
      </c>
      <c r="D218" s="2" t="n">
        <v>2025</v>
      </c>
      <c r="E218" s="2" t="n">
        <v>2028</v>
      </c>
      <c r="F218" s="2" t="n">
        <v>1033</v>
      </c>
      <c r="G218" s="2" t="n">
        <v>34</v>
      </c>
      <c r="H218" s="8" t="n">
        <v>32.9138431752178</v>
      </c>
      <c r="I218" s="2" t="n">
        <v>0</v>
      </c>
      <c r="J218" s="2" t="n">
        <v>1</v>
      </c>
      <c r="K218" s="2" t="n">
        <f aca="false">IF(H218&lt;=PERCENTILE($H$2:$H$230,설명!$B$26),1,0)</f>
        <v>0</v>
      </c>
      <c r="L218" s="2" t="n">
        <f aca="false">IF(I218=0,1,0)</f>
        <v>1</v>
      </c>
      <c r="M218" s="2" t="n">
        <f aca="false">L218</f>
        <v>1</v>
      </c>
      <c r="N218" s="9" t="n">
        <v>0.0741</v>
      </c>
      <c r="O218" s="2" t="n">
        <f aca="false">RANK(N218,$N$2:$N$230,0)</f>
        <v>217</v>
      </c>
      <c r="P218" s="2" t="n">
        <f aca="false">IF(O218&lt;=설명!$B$25,1,0)</f>
        <v>0</v>
      </c>
      <c r="Q218" s="2" t="str">
        <f aca="false">IF(AND(M218=1,P218=1),"① 최우선 지원",IF(P218=1,"② 예방 대상",IF(M218=1,"③ 구조적 공백","④ 관찰")))</f>
        <v>③ 구조적 공백</v>
      </c>
      <c r="R218" s="9" t="n">
        <v>0.0771</v>
      </c>
      <c r="S218" s="2" t="n">
        <f aca="false">RANK(R218,$R$2:$R$230,0)</f>
        <v>216</v>
      </c>
    </row>
    <row r="219" customFormat="false" ht="15" hidden="false" customHeight="false" outlineLevel="0" collapsed="false">
      <c r="A219" s="2" t="s">
        <v>489</v>
      </c>
      <c r="B219" s="3" t="s">
        <v>204</v>
      </c>
      <c r="C219" s="3" t="s">
        <v>490</v>
      </c>
      <c r="D219" s="2" t="n">
        <v>2025</v>
      </c>
      <c r="E219" s="2" t="n">
        <v>2028</v>
      </c>
      <c r="F219" s="2" t="n">
        <v>558</v>
      </c>
      <c r="G219" s="2" t="n">
        <v>13</v>
      </c>
      <c r="H219" s="8" t="n">
        <v>23.2974910394265</v>
      </c>
      <c r="I219" s="2" t="n">
        <v>0</v>
      </c>
      <c r="J219" s="2" t="n">
        <v>2</v>
      </c>
      <c r="K219" s="2" t="n">
        <f aca="false">IF(H219&lt;=PERCENTILE($H$2:$H$230,설명!$B$26),1,0)</f>
        <v>0</v>
      </c>
      <c r="L219" s="2" t="n">
        <f aca="false">IF(I219=0,1,0)</f>
        <v>1</v>
      </c>
      <c r="M219" s="2" t="n">
        <f aca="false">L219</f>
        <v>1</v>
      </c>
      <c r="N219" s="9" t="n">
        <v>0.0736</v>
      </c>
      <c r="O219" s="2" t="n">
        <f aca="false">RANK(N219,$N$2:$N$230,0)</f>
        <v>218</v>
      </c>
      <c r="P219" s="2" t="n">
        <f aca="false">IF(O219&lt;=설명!$B$25,1,0)</f>
        <v>0</v>
      </c>
      <c r="Q219" s="2" t="str">
        <f aca="false">IF(AND(M219=1,P219=1),"① 최우선 지원",IF(P219=1,"② 예방 대상",IF(M219=1,"③ 구조적 공백","④ 관찰")))</f>
        <v>③ 구조적 공백</v>
      </c>
      <c r="R219" s="9" t="n">
        <v>0.0807</v>
      </c>
      <c r="S219" s="2" t="n">
        <f aca="false">RANK(R219,$R$2:$R$230,0)</f>
        <v>215</v>
      </c>
    </row>
    <row r="220" customFormat="false" ht="15" hidden="false" customHeight="false" outlineLevel="0" collapsed="false">
      <c r="A220" s="2" t="s">
        <v>485</v>
      </c>
      <c r="B220" s="3" t="s">
        <v>76</v>
      </c>
      <c r="C220" s="3" t="s">
        <v>486</v>
      </c>
      <c r="D220" s="2" t="n">
        <v>2025</v>
      </c>
      <c r="E220" s="2" t="n">
        <v>2028</v>
      </c>
      <c r="F220" s="2" t="n">
        <v>747</v>
      </c>
      <c r="G220" s="2" t="n">
        <v>12</v>
      </c>
      <c r="H220" s="8" t="n">
        <v>16.0642570281125</v>
      </c>
      <c r="I220" s="2" t="n">
        <v>0</v>
      </c>
      <c r="J220" s="2" t="n">
        <v>2</v>
      </c>
      <c r="K220" s="2" t="n">
        <f aca="false">IF(H220&lt;=PERCENTILE($H$2:$H$230,설명!$B$26),1,0)</f>
        <v>0</v>
      </c>
      <c r="L220" s="2" t="n">
        <f aca="false">IF(I220=0,1,0)</f>
        <v>1</v>
      </c>
      <c r="M220" s="2" t="n">
        <f aca="false">L220</f>
        <v>1</v>
      </c>
      <c r="N220" s="9" t="n">
        <v>0.0716</v>
      </c>
      <c r="O220" s="2" t="n">
        <f aca="false">RANK(N220,$N$2:$N$230,0)</f>
        <v>219</v>
      </c>
      <c r="P220" s="2" t="n">
        <f aca="false">IF(O220&lt;=설명!$B$25,1,0)</f>
        <v>0</v>
      </c>
      <c r="Q220" s="2" t="str">
        <f aca="false">IF(AND(M220=1,P220=1),"① 최우선 지원",IF(P220=1,"② 예방 대상",IF(M220=1,"③ 구조적 공백","④ 관찰")))</f>
        <v>③ 구조적 공백</v>
      </c>
      <c r="R220" s="9" t="n">
        <v>0.0672</v>
      </c>
      <c r="S220" s="2" t="n">
        <f aca="false">RANK(R220,$R$2:$R$230,0)</f>
        <v>219</v>
      </c>
    </row>
    <row r="221" customFormat="false" ht="15" hidden="false" customHeight="false" outlineLevel="0" collapsed="false">
      <c r="A221" s="2" t="s">
        <v>441</v>
      </c>
      <c r="B221" s="3" t="s">
        <v>135</v>
      </c>
      <c r="C221" s="3" t="s">
        <v>442</v>
      </c>
      <c r="D221" s="2" t="n">
        <v>2025</v>
      </c>
      <c r="E221" s="2" t="n">
        <v>2028</v>
      </c>
      <c r="F221" s="2" t="n">
        <v>10618</v>
      </c>
      <c r="G221" s="2" t="n">
        <v>133</v>
      </c>
      <c r="H221" s="8" t="n">
        <v>12.5258994160859</v>
      </c>
      <c r="I221" s="2" t="n">
        <v>29</v>
      </c>
      <c r="J221" s="2" t="n">
        <v>60</v>
      </c>
      <c r="K221" s="2" t="n">
        <f aca="false">IF(H221&lt;=PERCENTILE($H$2:$H$230,설명!$B$26),1,0)</f>
        <v>1</v>
      </c>
      <c r="L221" s="2" t="n">
        <f aca="false">IF(I221=0,1,0)</f>
        <v>0</v>
      </c>
      <c r="M221" s="2" t="n">
        <f aca="false">L221</f>
        <v>0</v>
      </c>
      <c r="N221" s="9" t="n">
        <v>0.0713</v>
      </c>
      <c r="O221" s="2" t="n">
        <f aca="false">RANK(N221,$N$2:$N$230,0)</f>
        <v>220</v>
      </c>
      <c r="P221" s="2" t="n">
        <f aca="false">IF(O221&lt;=설명!$B$25,1,0)</f>
        <v>0</v>
      </c>
      <c r="Q221" s="2" t="str">
        <f aca="false">IF(AND(M221=1,P221=1),"① 최우선 지원",IF(P221=1,"② 예방 대상",IF(M221=1,"③ 구조적 공백","④ 관찰")))</f>
        <v>④ 관찰</v>
      </c>
      <c r="R221" s="9" t="n">
        <v>0.0542</v>
      </c>
      <c r="S221" s="2" t="n">
        <f aca="false">RANK(R221,$R$2:$R$230,0)</f>
        <v>224</v>
      </c>
    </row>
    <row r="222" customFormat="false" ht="15" hidden="false" customHeight="false" outlineLevel="0" collapsed="false">
      <c r="A222" s="2" t="s">
        <v>483</v>
      </c>
      <c r="B222" s="3" t="s">
        <v>66</v>
      </c>
      <c r="C222" s="3" t="s">
        <v>484</v>
      </c>
      <c r="D222" s="2" t="n">
        <v>2025</v>
      </c>
      <c r="E222" s="2" t="n">
        <v>2028</v>
      </c>
      <c r="F222" s="2" t="n">
        <v>12374</v>
      </c>
      <c r="G222" s="2" t="n">
        <v>201</v>
      </c>
      <c r="H222" s="8" t="n">
        <v>16.2437368676257</v>
      </c>
      <c r="I222" s="2" t="n">
        <v>16</v>
      </c>
      <c r="J222" s="2" t="n">
        <v>25</v>
      </c>
      <c r="K222" s="2" t="n">
        <f aca="false">IF(H222&lt;=PERCENTILE($H$2:$H$230,설명!$B$26),1,0)</f>
        <v>0</v>
      </c>
      <c r="L222" s="2" t="n">
        <f aca="false">IF(I222=0,1,0)</f>
        <v>0</v>
      </c>
      <c r="M222" s="2" t="n">
        <f aca="false">L222</f>
        <v>0</v>
      </c>
      <c r="N222" s="9" t="n">
        <v>0.0708</v>
      </c>
      <c r="O222" s="2" t="n">
        <f aca="false">RANK(N222,$N$2:$N$230,0)</f>
        <v>221</v>
      </c>
      <c r="P222" s="2" t="n">
        <f aca="false">IF(O222&lt;=설명!$B$25,1,0)</f>
        <v>0</v>
      </c>
      <c r="Q222" s="2" t="str">
        <f aca="false">IF(AND(M222=1,P222=1),"① 최우선 지원",IF(P222=1,"② 예방 대상",IF(M222=1,"③ 구조적 공백","④ 관찰")))</f>
        <v>④ 관찰</v>
      </c>
      <c r="R222" s="9" t="n">
        <v>0.0853</v>
      </c>
      <c r="S222" s="2" t="n">
        <f aca="false">RANK(R222,$R$2:$R$230,0)</f>
        <v>213</v>
      </c>
    </row>
    <row r="223" customFormat="false" ht="15" hidden="false" customHeight="false" outlineLevel="0" collapsed="false">
      <c r="A223" s="2" t="s">
        <v>497</v>
      </c>
      <c r="B223" s="3" t="s">
        <v>90</v>
      </c>
      <c r="C223" s="3" t="s">
        <v>498</v>
      </c>
      <c r="D223" s="2" t="n">
        <v>2025</v>
      </c>
      <c r="E223" s="2" t="n">
        <v>2028</v>
      </c>
      <c r="F223" s="2" t="n">
        <v>997</v>
      </c>
      <c r="G223" s="2" t="n">
        <v>19</v>
      </c>
      <c r="H223" s="8" t="n">
        <v>19.0571715145436</v>
      </c>
      <c r="I223" s="2" t="n">
        <v>0</v>
      </c>
      <c r="J223" s="2" t="n">
        <v>1</v>
      </c>
      <c r="K223" s="2" t="n">
        <f aca="false">IF(H223&lt;=PERCENTILE($H$2:$H$230,설명!$B$26),1,0)</f>
        <v>0</v>
      </c>
      <c r="L223" s="2" t="n">
        <f aca="false">IF(I223=0,1,0)</f>
        <v>1</v>
      </c>
      <c r="M223" s="2" t="n">
        <f aca="false">L223</f>
        <v>1</v>
      </c>
      <c r="N223" s="9" t="n">
        <v>0.0607</v>
      </c>
      <c r="O223" s="2" t="n">
        <f aca="false">RANK(N223,$N$2:$N$230,0)</f>
        <v>222</v>
      </c>
      <c r="P223" s="2" t="n">
        <f aca="false">IF(O223&lt;=설명!$B$25,1,0)</f>
        <v>0</v>
      </c>
      <c r="Q223" s="2" t="str">
        <f aca="false">IF(AND(M223=1,P223=1),"① 최우선 지원",IF(P223=1,"② 예방 대상",IF(M223=1,"③ 구조적 공백","④ 관찰")))</f>
        <v>③ 구조적 공백</v>
      </c>
      <c r="R223" s="9" t="n">
        <v>0.0645</v>
      </c>
      <c r="S223" s="2" t="n">
        <f aca="false">RANK(R223,$R$2:$R$230,0)</f>
        <v>221</v>
      </c>
    </row>
    <row r="224" customFormat="false" ht="15" hidden="false" customHeight="false" outlineLevel="0" collapsed="false">
      <c r="A224" s="2" t="s">
        <v>481</v>
      </c>
      <c r="B224" s="3" t="s">
        <v>71</v>
      </c>
      <c r="C224" s="3" t="s">
        <v>482</v>
      </c>
      <c r="D224" s="2" t="n">
        <v>2025</v>
      </c>
      <c r="E224" s="2" t="n">
        <v>2028</v>
      </c>
      <c r="F224" s="2" t="n">
        <v>16724</v>
      </c>
      <c r="G224" s="2" t="n">
        <v>246</v>
      </c>
      <c r="H224" s="8" t="n">
        <v>14.7093996651519</v>
      </c>
      <c r="I224" s="2" t="n">
        <v>20</v>
      </c>
      <c r="J224" s="2" t="n">
        <v>48</v>
      </c>
      <c r="K224" s="2" t="n">
        <f aca="false">IF(H224&lt;=PERCENTILE($H$2:$H$230,설명!$B$26),1,0)</f>
        <v>1</v>
      </c>
      <c r="L224" s="2" t="n">
        <f aca="false">IF(I224=0,1,0)</f>
        <v>0</v>
      </c>
      <c r="M224" s="2" t="n">
        <f aca="false">L224</f>
        <v>0</v>
      </c>
      <c r="N224" s="9" t="n">
        <v>0.0581</v>
      </c>
      <c r="O224" s="2" t="n">
        <f aca="false">RANK(N224,$N$2:$N$230,0)</f>
        <v>223</v>
      </c>
      <c r="P224" s="2" t="n">
        <f aca="false">IF(O224&lt;=설명!$B$25,1,0)</f>
        <v>0</v>
      </c>
      <c r="Q224" s="2" t="str">
        <f aca="false">IF(AND(M224=1,P224=1),"① 최우선 지원",IF(P224=1,"② 예방 대상",IF(M224=1,"③ 구조적 공백","④ 관찰")))</f>
        <v>④ 관찰</v>
      </c>
      <c r="R224" s="9" t="n">
        <v>0.0287</v>
      </c>
      <c r="S224" s="2" t="n">
        <f aca="false">RANK(R224,$R$2:$R$230,0)</f>
        <v>228</v>
      </c>
    </row>
    <row r="225" customFormat="false" ht="15" hidden="false" customHeight="false" outlineLevel="0" collapsed="false">
      <c r="A225" s="2" t="s">
        <v>465</v>
      </c>
      <c r="B225" s="3" t="s">
        <v>120</v>
      </c>
      <c r="C225" s="3" t="s">
        <v>466</v>
      </c>
      <c r="D225" s="2" t="n">
        <v>2025</v>
      </c>
      <c r="E225" s="2" t="n">
        <v>2028</v>
      </c>
      <c r="F225" s="2" t="n">
        <v>17104</v>
      </c>
      <c r="G225" s="2" t="n">
        <v>226</v>
      </c>
      <c r="H225" s="8" t="n">
        <v>13.2132834424696</v>
      </c>
      <c r="I225" s="2" t="n">
        <v>25</v>
      </c>
      <c r="J225" s="2" t="n">
        <v>64</v>
      </c>
      <c r="K225" s="2" t="n">
        <f aca="false">IF(H225&lt;=PERCENTILE($H$2:$H$230,설명!$B$26),1,0)</f>
        <v>1</v>
      </c>
      <c r="L225" s="2" t="n">
        <f aca="false">IF(I225=0,1,0)</f>
        <v>0</v>
      </c>
      <c r="M225" s="2" t="n">
        <f aca="false">L225</f>
        <v>0</v>
      </c>
      <c r="N225" s="9" t="n">
        <v>0.0554</v>
      </c>
      <c r="O225" s="2" t="n">
        <f aca="false">RANK(N225,$N$2:$N$230,0)</f>
        <v>224</v>
      </c>
      <c r="P225" s="2" t="n">
        <f aca="false">IF(O225&lt;=설명!$B$25,1,0)</f>
        <v>0</v>
      </c>
      <c r="Q225" s="2" t="str">
        <f aca="false">IF(AND(M225=1,P225=1),"① 최우선 지원",IF(P225=1,"② 예방 대상",IF(M225=1,"③ 구조적 공백","④ 관찰")))</f>
        <v>④ 관찰</v>
      </c>
      <c r="R225" s="9" t="n">
        <v>0.0718</v>
      </c>
      <c r="S225" s="2" t="n">
        <f aca="false">RANK(R225,$R$2:$R$230,0)</f>
        <v>217</v>
      </c>
    </row>
    <row r="226" customFormat="false" ht="15" hidden="false" customHeight="false" outlineLevel="0" collapsed="false">
      <c r="A226" s="2" t="s">
        <v>475</v>
      </c>
      <c r="B226" s="3" t="s">
        <v>90</v>
      </c>
      <c r="C226" s="3" t="s">
        <v>476</v>
      </c>
      <c r="D226" s="2" t="n">
        <v>2025</v>
      </c>
      <c r="E226" s="2" t="n">
        <v>2028</v>
      </c>
      <c r="F226" s="2" t="n">
        <v>580</v>
      </c>
      <c r="G226" s="2" t="n">
        <v>11</v>
      </c>
      <c r="H226" s="8" t="n">
        <v>18.9655172413793</v>
      </c>
      <c r="I226" s="2" t="n">
        <v>0</v>
      </c>
      <c r="J226" s="2" t="n">
        <v>2</v>
      </c>
      <c r="K226" s="2" t="n">
        <f aca="false">IF(H226&lt;=PERCENTILE($H$2:$H$230,설명!$B$26),1,0)</f>
        <v>0</v>
      </c>
      <c r="L226" s="2" t="n">
        <f aca="false">IF(I226=0,1,0)</f>
        <v>1</v>
      </c>
      <c r="M226" s="2" t="n">
        <f aca="false">L226</f>
        <v>1</v>
      </c>
      <c r="N226" s="9" t="n">
        <v>0.0534</v>
      </c>
      <c r="O226" s="2" t="n">
        <f aca="false">RANK(N226,$N$2:$N$230,0)</f>
        <v>225</v>
      </c>
      <c r="P226" s="2" t="n">
        <f aca="false">IF(O226&lt;=설명!$B$25,1,0)</f>
        <v>0</v>
      </c>
      <c r="Q226" s="2" t="str">
        <f aca="false">IF(AND(M226=1,P226=1),"① 최우선 지원",IF(P226=1,"② 예방 대상",IF(M226=1,"③ 구조적 공백","④ 관찰")))</f>
        <v>③ 구조적 공백</v>
      </c>
      <c r="R226" s="9" t="n">
        <v>0.0426</v>
      </c>
      <c r="S226" s="2" t="n">
        <f aca="false">RANK(R226,$R$2:$R$230,0)</f>
        <v>227</v>
      </c>
    </row>
    <row r="227" customFormat="false" ht="15" hidden="false" customHeight="false" outlineLevel="0" collapsed="false">
      <c r="A227" s="2" t="s">
        <v>501</v>
      </c>
      <c r="B227" s="3" t="s">
        <v>120</v>
      </c>
      <c r="C227" s="3" t="s">
        <v>502</v>
      </c>
      <c r="D227" s="2" t="n">
        <v>2025</v>
      </c>
      <c r="E227" s="2" t="n">
        <v>2028</v>
      </c>
      <c r="F227" s="2" t="n">
        <v>20088</v>
      </c>
      <c r="G227" s="2" t="n">
        <v>280</v>
      </c>
      <c r="H227" s="8" t="n">
        <v>13.9386698526484</v>
      </c>
      <c r="I227" s="2" t="n">
        <v>38</v>
      </c>
      <c r="J227" s="2" t="n">
        <v>142</v>
      </c>
      <c r="K227" s="2" t="n">
        <f aca="false">IF(H227&lt;=PERCENTILE($H$2:$H$230,설명!$B$26),1,0)</f>
        <v>1</v>
      </c>
      <c r="L227" s="2" t="n">
        <f aca="false">IF(I227=0,1,0)</f>
        <v>0</v>
      </c>
      <c r="M227" s="2" t="n">
        <f aca="false">L227</f>
        <v>0</v>
      </c>
      <c r="N227" s="9" t="n">
        <v>0.0501</v>
      </c>
      <c r="O227" s="2" t="n">
        <f aca="false">RANK(N227,$N$2:$N$230,0)</f>
        <v>226</v>
      </c>
      <c r="P227" s="2" t="n">
        <f aca="false">IF(O227&lt;=설명!$B$25,1,0)</f>
        <v>0</v>
      </c>
      <c r="Q227" s="2" t="str">
        <f aca="false">IF(AND(M227=1,P227=1),"① 최우선 지원",IF(P227=1,"② 예방 대상",IF(M227=1,"③ 구조적 공백","④ 관찰")))</f>
        <v>④ 관찰</v>
      </c>
      <c r="R227" s="9" t="n">
        <v>0.0591</v>
      </c>
      <c r="S227" s="2" t="n">
        <f aca="false">RANK(R227,$R$2:$R$230,0)</f>
        <v>223</v>
      </c>
    </row>
    <row r="228" customFormat="false" ht="15" hidden="false" customHeight="false" outlineLevel="0" collapsed="false">
      <c r="A228" s="2" t="s">
        <v>487</v>
      </c>
      <c r="B228" s="3" t="s">
        <v>120</v>
      </c>
      <c r="C228" s="3" t="s">
        <v>488</v>
      </c>
      <c r="D228" s="2" t="n">
        <v>2025</v>
      </c>
      <c r="E228" s="2" t="n">
        <v>2028</v>
      </c>
      <c r="F228" s="2" t="n">
        <v>11335</v>
      </c>
      <c r="G228" s="2" t="n">
        <v>174</v>
      </c>
      <c r="H228" s="8" t="n">
        <v>15.3506837229819</v>
      </c>
      <c r="I228" s="2" t="n">
        <v>17</v>
      </c>
      <c r="J228" s="2" t="n">
        <v>63</v>
      </c>
      <c r="K228" s="2" t="n">
        <f aca="false">IF(H228&lt;=PERCENTILE($H$2:$H$230,설명!$B$26),1,0)</f>
        <v>0</v>
      </c>
      <c r="L228" s="2" t="n">
        <f aca="false">IF(I228=0,1,0)</f>
        <v>0</v>
      </c>
      <c r="M228" s="2" t="n">
        <f aca="false">L228</f>
        <v>0</v>
      </c>
      <c r="N228" s="9" t="n">
        <v>0.0493</v>
      </c>
      <c r="O228" s="2" t="n">
        <f aca="false">RANK(N228,$N$2:$N$230,0)</f>
        <v>227</v>
      </c>
      <c r="P228" s="2" t="n">
        <f aca="false">IF(O228&lt;=설명!$B$25,1,0)</f>
        <v>0</v>
      </c>
      <c r="Q228" s="2" t="str">
        <f aca="false">IF(AND(M228=1,P228=1),"① 최우선 지원",IF(P228=1,"② 예방 대상",IF(M228=1,"③ 구조적 공백","④ 관찰")))</f>
        <v>④ 관찰</v>
      </c>
      <c r="R228" s="9" t="n">
        <v>0.0474</v>
      </c>
      <c r="S228" s="2" t="n">
        <f aca="false">RANK(R228,$R$2:$R$230,0)</f>
        <v>226</v>
      </c>
    </row>
    <row r="229" customFormat="false" ht="15" hidden="false" customHeight="false" outlineLevel="0" collapsed="false">
      <c r="A229" s="2" t="s">
        <v>503</v>
      </c>
      <c r="B229" s="3" t="s">
        <v>153</v>
      </c>
      <c r="C229" s="3" t="s">
        <v>504</v>
      </c>
      <c r="D229" s="2" t="n">
        <v>2025</v>
      </c>
      <c r="E229" s="2" t="n">
        <v>2028</v>
      </c>
      <c r="F229" s="2" t="n">
        <v>560</v>
      </c>
      <c r="G229" s="2" t="n">
        <v>9</v>
      </c>
      <c r="H229" s="8" t="n">
        <v>16.0714285714286</v>
      </c>
      <c r="I229" s="2" t="n">
        <v>0</v>
      </c>
      <c r="J229" s="2" t="n">
        <v>1</v>
      </c>
      <c r="K229" s="2" t="n">
        <f aca="false">IF(H229&lt;=PERCENTILE($H$2:$H$230,설명!$B$26),1,0)</f>
        <v>0</v>
      </c>
      <c r="L229" s="2" t="n">
        <f aca="false">IF(I229=0,1,0)</f>
        <v>1</v>
      </c>
      <c r="M229" s="2" t="n">
        <f aca="false">L229</f>
        <v>1</v>
      </c>
      <c r="N229" s="9" t="n">
        <v>0.0476</v>
      </c>
      <c r="O229" s="2" t="n">
        <f aca="false">RANK(N229,$N$2:$N$230,0)</f>
        <v>228</v>
      </c>
      <c r="P229" s="2" t="n">
        <f aca="false">IF(O229&lt;=설명!$B$25,1,0)</f>
        <v>0</v>
      </c>
      <c r="Q229" s="2" t="str">
        <f aca="false">IF(AND(M229=1,P229=1),"① 최우선 지원",IF(P229=1,"② 예방 대상",IF(M229=1,"③ 구조적 공백","④ 관찰")))</f>
        <v>③ 구조적 공백</v>
      </c>
      <c r="R229" s="9" t="n">
        <v>0.0609</v>
      </c>
      <c r="S229" s="2" t="n">
        <f aca="false">RANK(R229,$R$2:$R$230,0)</f>
        <v>222</v>
      </c>
    </row>
    <row r="230" customFormat="false" ht="15" hidden="false" customHeight="false" outlineLevel="0" collapsed="false">
      <c r="A230" s="2" t="s">
        <v>453</v>
      </c>
      <c r="B230" s="3" t="s">
        <v>90</v>
      </c>
      <c r="C230" s="3" t="s">
        <v>454</v>
      </c>
      <c r="D230" s="2" t="n">
        <v>2025</v>
      </c>
      <c r="E230" s="2" t="n">
        <v>2028</v>
      </c>
      <c r="F230" s="2" t="n">
        <v>1303</v>
      </c>
      <c r="G230" s="2" t="n">
        <v>19</v>
      </c>
      <c r="H230" s="8" t="n">
        <v>14.5817344589409</v>
      </c>
      <c r="I230" s="2" t="n">
        <v>0</v>
      </c>
      <c r="J230" s="2" t="n">
        <v>5</v>
      </c>
      <c r="K230" s="2" t="n">
        <f aca="false">IF(H230&lt;=PERCENTILE($H$2:$H$230,설명!$B$26),1,0)</f>
        <v>1</v>
      </c>
      <c r="L230" s="2" t="n">
        <f aca="false">IF(I230=0,1,0)</f>
        <v>1</v>
      </c>
      <c r="M230" s="2" t="n">
        <f aca="false">L230</f>
        <v>1</v>
      </c>
      <c r="N230" s="9" t="n">
        <v>0.0314</v>
      </c>
      <c r="O230" s="2" t="n">
        <f aca="false">RANK(N230,$N$2:$N$230,0)</f>
        <v>229</v>
      </c>
      <c r="P230" s="2" t="n">
        <f aca="false">IF(O230&lt;=설명!$B$25,1,0)</f>
        <v>0</v>
      </c>
      <c r="Q230" s="2" t="str">
        <f aca="false">IF(AND(M230=1,P230=1),"① 최우선 지원",IF(P230=1,"② 예방 대상",IF(M230=1,"③ 구조적 공백","④ 관찰")))</f>
        <v>③ 구조적 공백</v>
      </c>
      <c r="R230" s="9" t="n">
        <v>0.0271</v>
      </c>
      <c r="S230" s="2" t="n">
        <f aca="false">RANK(R230,$R$2:$R$230,0)</f>
        <v>229</v>
      </c>
    </row>
  </sheetData>
  <autoFilter ref="A1:S230"/>
  <conditionalFormatting sqref="A2:S230">
    <cfRule type="expression" priority="2" aboveAverage="0" equalAverage="0" bottom="0" percent="0" rank="0" text="" dxfId="6">
      <formula>LEFT($Q2,1)="①"</formula>
    </cfRule>
    <cfRule type="expression" priority="3" aboveAverage="0" equalAverage="0" bottom="0" percent="0" rank="0" text="" dxfId="7">
      <formula>LEFT($Q2,1)="②"</formula>
    </cfRule>
    <cfRule type="expression" priority="4" aboveAverage="0" equalAverage="0" bottom="0" percent="0" rank="0" text="" dxfId="8">
      <formula>LEFT($Q2,1)="③"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4" min="3" style="0" width="9"/>
    <col collapsed="false" customWidth="true" hidden="false" outlineLevel="0" max="7" min="5" style="0" width="12"/>
  </cols>
  <sheetData>
    <row r="1" customFormat="false" ht="42" hidden="false" customHeight="true" outlineLevel="0" collapsed="false">
      <c r="A1" s="10" t="s">
        <v>505</v>
      </c>
      <c r="B1" s="10" t="s">
        <v>13</v>
      </c>
      <c r="C1" s="11" t="s">
        <v>506</v>
      </c>
      <c r="D1" s="11" t="s">
        <v>507</v>
      </c>
      <c r="E1" s="11" t="s">
        <v>508</v>
      </c>
      <c r="F1" s="11" t="s">
        <v>509</v>
      </c>
      <c r="G1" s="11" t="s">
        <v>510</v>
      </c>
    </row>
    <row r="2" customFormat="false" ht="15" hidden="false" customHeight="false" outlineLevel="0" collapsed="false">
      <c r="A2" s="2" t="n">
        <v>2021</v>
      </c>
      <c r="B2" s="3" t="s">
        <v>511</v>
      </c>
      <c r="C2" s="9" t="n">
        <v>0.761</v>
      </c>
      <c r="D2" s="9" t="n">
        <v>0.419</v>
      </c>
      <c r="E2" s="12" t="n">
        <v>53</v>
      </c>
      <c r="F2" s="9" t="n">
        <v>0.358</v>
      </c>
      <c r="G2" s="9" t="n">
        <v>0.4</v>
      </c>
    </row>
    <row r="3" customFormat="false" ht="15" hidden="false" customHeight="false" outlineLevel="0" collapsed="false">
      <c r="A3" s="2" t="n">
        <v>2021</v>
      </c>
      <c r="B3" s="3" t="s">
        <v>512</v>
      </c>
      <c r="C3" s="9" t="n">
        <v>0.823</v>
      </c>
      <c r="D3" s="9" t="n">
        <v>0.566</v>
      </c>
      <c r="E3" s="12" t="n">
        <v>53</v>
      </c>
      <c r="F3" s="9" t="n">
        <v>0.547</v>
      </c>
      <c r="G3" s="9" t="n">
        <v>0.65</v>
      </c>
    </row>
    <row r="4" customFormat="false" ht="15" hidden="false" customHeight="false" outlineLevel="0" collapsed="false">
      <c r="A4" s="2" t="n">
        <v>2021</v>
      </c>
      <c r="B4" s="2" t="s">
        <v>513</v>
      </c>
      <c r="C4" s="9" t="n">
        <v>0.794</v>
      </c>
      <c r="D4" s="9" t="n">
        <v>0.53</v>
      </c>
      <c r="E4" s="12" t="n">
        <v>53</v>
      </c>
      <c r="F4" s="9" t="n">
        <v>0.528</v>
      </c>
      <c r="G4" s="9" t="n">
        <v>0.55</v>
      </c>
    </row>
    <row r="5" customFormat="false" ht="15" hidden="false" customHeight="false" outlineLevel="0" collapsed="false">
      <c r="A5" s="2" t="n">
        <v>2022</v>
      </c>
      <c r="B5" s="3" t="s">
        <v>511</v>
      </c>
      <c r="C5" s="9" t="n">
        <v>0.7</v>
      </c>
      <c r="D5" s="9" t="n">
        <v>0.496</v>
      </c>
      <c r="E5" s="12" t="n">
        <v>57</v>
      </c>
      <c r="F5" s="9" t="n">
        <v>0.421</v>
      </c>
      <c r="G5" s="9" t="n">
        <v>0.65</v>
      </c>
    </row>
    <row r="6" customFormat="false" ht="15" hidden="false" customHeight="false" outlineLevel="0" collapsed="false">
      <c r="A6" s="2" t="n">
        <v>2022</v>
      </c>
      <c r="B6" s="3" t="s">
        <v>512</v>
      </c>
      <c r="C6" s="9" t="n">
        <v>0.758</v>
      </c>
      <c r="D6" s="9" t="n">
        <v>0.582</v>
      </c>
      <c r="E6" s="12" t="n">
        <v>57</v>
      </c>
      <c r="F6" s="9" t="n">
        <v>0.421</v>
      </c>
      <c r="G6" s="9" t="n">
        <v>0.8</v>
      </c>
    </row>
    <row r="7" customFormat="false" ht="15" hidden="false" customHeight="false" outlineLevel="0" collapsed="false">
      <c r="A7" s="2" t="n">
        <v>2022</v>
      </c>
      <c r="B7" s="2" t="s">
        <v>513</v>
      </c>
      <c r="C7" s="9" t="n">
        <v>0.739</v>
      </c>
      <c r="D7" s="9" t="n">
        <v>0.518</v>
      </c>
      <c r="E7" s="12" t="n">
        <v>57</v>
      </c>
      <c r="F7" s="9" t="n">
        <v>0.456</v>
      </c>
      <c r="G7" s="9" t="n">
        <v>0.65</v>
      </c>
    </row>
    <row r="8" customFormat="false" ht="15" hidden="false" customHeight="false" outlineLevel="0" collapsed="false">
      <c r="A8" s="5" t="s">
        <v>514</v>
      </c>
      <c r="B8" s="1" t="s">
        <v>511</v>
      </c>
      <c r="C8" s="13" t="n">
        <f aca="false">AVERAGEIFS(C2:C7,$B$2:$B$7,B8)</f>
        <v>0.7305</v>
      </c>
      <c r="D8" s="13" t="n">
        <f aca="false">AVERAGEIFS(D2:D7,$B$2:$B$7,B8)</f>
        <v>0.4575</v>
      </c>
      <c r="E8" s="14" t="n">
        <f aca="false">AVERAGEIFS(E2:E7,$B$2:$B$7,B8)</f>
        <v>55</v>
      </c>
      <c r="F8" s="13" t="n">
        <f aca="false">AVERAGEIFS(F2:F7,$B$2:$B$7,B8)</f>
        <v>0.3895</v>
      </c>
      <c r="G8" s="13" t="n">
        <f aca="false">AVERAGEIFS(G2:G7,$B$2:$B$7,B8)</f>
        <v>0.525</v>
      </c>
    </row>
    <row r="9" customFormat="false" ht="15" hidden="false" customHeight="false" outlineLevel="0" collapsed="false">
      <c r="A9" s="5" t="s">
        <v>514</v>
      </c>
      <c r="B9" s="1" t="s">
        <v>512</v>
      </c>
      <c r="C9" s="13" t="n">
        <f aca="false">AVERAGEIFS(C2:C7,$B$2:$B$7,B9)</f>
        <v>0.7905</v>
      </c>
      <c r="D9" s="13" t="n">
        <f aca="false">AVERAGEIFS(D2:D7,$B$2:$B$7,B9)</f>
        <v>0.574</v>
      </c>
      <c r="E9" s="14" t="n">
        <f aca="false">AVERAGEIFS(E2:E7,$B$2:$B$7,B9)</f>
        <v>55</v>
      </c>
      <c r="F9" s="13" t="n">
        <f aca="false">AVERAGEIFS(F2:F7,$B$2:$B$7,B9)</f>
        <v>0.484</v>
      </c>
      <c r="G9" s="13" t="n">
        <f aca="false">AVERAGEIFS(G2:G7,$B$2:$B$7,B9)</f>
        <v>0.725</v>
      </c>
    </row>
    <row r="10" customFormat="false" ht="15" hidden="false" customHeight="false" outlineLevel="0" collapsed="false">
      <c r="A10" s="5" t="s">
        <v>514</v>
      </c>
      <c r="B10" s="5" t="s">
        <v>513</v>
      </c>
      <c r="C10" s="13" t="n">
        <f aca="false">AVERAGEIFS(C2:C7,$B$2:$B$7,B10)</f>
        <v>0.7665</v>
      </c>
      <c r="D10" s="13" t="n">
        <f aca="false">AVERAGEIFS(D2:D7,$B$2:$B$7,B10)</f>
        <v>0.524</v>
      </c>
      <c r="E10" s="14" t="n">
        <f aca="false">AVERAGEIFS(E2:E7,$B$2:$B$7,B10)</f>
        <v>55</v>
      </c>
      <c r="F10" s="13" t="n">
        <f aca="false">AVERAGEIFS(F2:F7,$B$2:$B$7,B10)</f>
        <v>0.492</v>
      </c>
      <c r="G10" s="13" t="n">
        <f aca="false">AVERAGEIFS(G2:G7,$B$2:$B$7,B10)</f>
        <v>0.6</v>
      </c>
    </row>
    <row r="12" customFormat="false" ht="15" hidden="false" customHeight="false" outlineLevel="0" collapsed="false">
      <c r="A12" s="3" t="s">
        <v>515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12"/>
  </cols>
  <sheetData>
    <row r="1" customFormat="false" ht="42" hidden="false" customHeight="true" outlineLevel="0" collapsed="false">
      <c r="A1" s="6" t="s">
        <v>516</v>
      </c>
      <c r="B1" s="6" t="s">
        <v>517</v>
      </c>
      <c r="C1" s="6" t="s">
        <v>518</v>
      </c>
    </row>
    <row r="2" customFormat="false" ht="15" hidden="false" customHeight="false" outlineLevel="0" collapsed="false">
      <c r="A2" s="2" t="s">
        <v>519</v>
      </c>
      <c r="B2" s="2" t="n">
        <v>0.0589</v>
      </c>
      <c r="C2" s="2" t="n">
        <v>0.0189</v>
      </c>
    </row>
    <row r="3" customFormat="false" ht="15" hidden="false" customHeight="false" outlineLevel="0" collapsed="false">
      <c r="A3" s="3" t="s">
        <v>520</v>
      </c>
      <c r="B3" s="2" t="n">
        <v>0.0259</v>
      </c>
      <c r="C3" s="2" t="n">
        <v>0.0126</v>
      </c>
    </row>
    <row r="4" customFormat="false" ht="15" hidden="false" customHeight="false" outlineLevel="0" collapsed="false">
      <c r="A4" s="3" t="s">
        <v>521</v>
      </c>
      <c r="B4" s="2" t="n">
        <v>0.019</v>
      </c>
      <c r="C4" s="2" t="n">
        <v>0.0067</v>
      </c>
    </row>
    <row r="5" customFormat="false" ht="15" hidden="false" customHeight="false" outlineLevel="0" collapsed="false">
      <c r="A5" s="3" t="s">
        <v>522</v>
      </c>
      <c r="B5" s="2" t="n">
        <v>0.0139</v>
      </c>
      <c r="C5" s="2" t="n">
        <v>0.0047</v>
      </c>
    </row>
    <row r="6" customFormat="false" ht="15" hidden="false" customHeight="false" outlineLevel="0" collapsed="false">
      <c r="A6" s="3" t="s">
        <v>523</v>
      </c>
      <c r="B6" s="2" t="n">
        <v>0.0128</v>
      </c>
      <c r="C6" s="2" t="n">
        <v>0.0044</v>
      </c>
    </row>
    <row r="7" customFormat="false" ht="15" hidden="false" customHeight="false" outlineLevel="0" collapsed="false">
      <c r="A7" s="3" t="s">
        <v>524</v>
      </c>
      <c r="B7" s="2" t="n">
        <v>0.0105</v>
      </c>
      <c r="C7" s="2" t="n">
        <v>0.0057</v>
      </c>
    </row>
    <row r="8" customFormat="false" ht="15" hidden="false" customHeight="false" outlineLevel="0" collapsed="false">
      <c r="A8" s="3" t="s">
        <v>525</v>
      </c>
      <c r="B8" s="2" t="n">
        <v>0.0086</v>
      </c>
      <c r="C8" s="2" t="n">
        <v>0.0063</v>
      </c>
    </row>
    <row r="9" customFormat="false" ht="15" hidden="false" customHeight="false" outlineLevel="0" collapsed="false">
      <c r="A9" s="3" t="s">
        <v>526</v>
      </c>
      <c r="B9" s="2" t="n">
        <v>0.0085</v>
      </c>
      <c r="C9" s="2" t="n">
        <v>0.0033</v>
      </c>
    </row>
    <row r="10" customFormat="false" ht="15" hidden="false" customHeight="false" outlineLevel="0" collapsed="false">
      <c r="A10" s="3" t="s">
        <v>527</v>
      </c>
      <c r="B10" s="2" t="n">
        <v>0.0084</v>
      </c>
      <c r="C10" s="2" t="n">
        <v>0.0063</v>
      </c>
    </row>
    <row r="11" customFormat="false" ht="15" hidden="false" customHeight="false" outlineLevel="0" collapsed="false">
      <c r="A11" s="3" t="s">
        <v>528</v>
      </c>
      <c r="B11" s="2" t="n">
        <v>0.0083</v>
      </c>
      <c r="C11" s="2" t="n">
        <v>0.0037</v>
      </c>
    </row>
    <row r="12" customFormat="false" ht="15" hidden="false" customHeight="false" outlineLevel="0" collapsed="false">
      <c r="A12" s="3" t="s">
        <v>529</v>
      </c>
      <c r="B12" s="2" t="n">
        <v>0.0071</v>
      </c>
      <c r="C12" s="2" t="n">
        <v>0.0046</v>
      </c>
    </row>
    <row r="13" customFormat="false" ht="15" hidden="false" customHeight="false" outlineLevel="0" collapsed="false">
      <c r="A13" s="2" t="s">
        <v>530</v>
      </c>
      <c r="B13" s="2" t="n">
        <v>0.007</v>
      </c>
      <c r="C13" s="2" t="n">
        <v>0.0051</v>
      </c>
    </row>
    <row r="14" customFormat="false" ht="15" hidden="false" customHeight="false" outlineLevel="0" collapsed="false">
      <c r="A14" s="2" t="s">
        <v>531</v>
      </c>
      <c r="B14" s="2" t="n">
        <v>0.005</v>
      </c>
      <c r="C14" s="2" t="n">
        <v>0.0046</v>
      </c>
    </row>
    <row r="15" customFormat="false" ht="15" hidden="false" customHeight="false" outlineLevel="0" collapsed="false">
      <c r="A15" s="3" t="s">
        <v>532</v>
      </c>
      <c r="B15" s="2" t="n">
        <v>0.0043</v>
      </c>
      <c r="C15" s="2" t="n">
        <v>0.003</v>
      </c>
    </row>
    <row r="16" customFormat="false" ht="15" hidden="false" customHeight="false" outlineLevel="0" collapsed="false">
      <c r="A16" s="3" t="s">
        <v>533</v>
      </c>
      <c r="B16" s="2" t="n">
        <v>0.0043</v>
      </c>
      <c r="C16" s="2" t="n">
        <v>0.0038</v>
      </c>
    </row>
    <row r="17" customFormat="false" ht="15" hidden="false" customHeight="false" outlineLevel="0" collapsed="false">
      <c r="A17" s="3" t="s">
        <v>534</v>
      </c>
      <c r="B17" s="2" t="n">
        <v>0.0041</v>
      </c>
      <c r="C17" s="2" t="n">
        <v>0.0039</v>
      </c>
    </row>
    <row r="18" customFormat="false" ht="15" hidden="false" customHeight="false" outlineLevel="0" collapsed="false">
      <c r="A18" s="3" t="s">
        <v>535</v>
      </c>
      <c r="B18" s="2" t="n">
        <v>0.0039</v>
      </c>
      <c r="C18" s="2" t="n">
        <v>0.0033</v>
      </c>
    </row>
    <row r="19" customFormat="false" ht="15" hidden="false" customHeight="false" outlineLevel="0" collapsed="false">
      <c r="A19" s="2" t="s">
        <v>536</v>
      </c>
      <c r="B19" s="2" t="n">
        <v>0.0039</v>
      </c>
      <c r="C19" s="2" t="n">
        <v>0.0038</v>
      </c>
    </row>
    <row r="20" customFormat="false" ht="15" hidden="false" customHeight="false" outlineLevel="0" collapsed="false">
      <c r="A20" s="3" t="s">
        <v>537</v>
      </c>
      <c r="B20" s="2" t="n">
        <v>0.0034</v>
      </c>
      <c r="C20" s="2" t="n">
        <v>0.0012</v>
      </c>
    </row>
    <row r="21" customFormat="false" ht="15" hidden="false" customHeight="false" outlineLevel="0" collapsed="false">
      <c r="A21" s="3" t="s">
        <v>538</v>
      </c>
      <c r="B21" s="2" t="n">
        <v>0.0034</v>
      </c>
      <c r="C21" s="2" t="n">
        <v>0.0016</v>
      </c>
    </row>
    <row r="22" customFormat="false" ht="15" hidden="false" customHeight="false" outlineLevel="0" collapsed="false">
      <c r="A22" s="2" t="s">
        <v>539</v>
      </c>
      <c r="B22" s="2" t="n">
        <v>0.0031</v>
      </c>
      <c r="C22" s="2" t="n">
        <v>0.0035</v>
      </c>
    </row>
    <row r="23" customFormat="false" ht="15" hidden="false" customHeight="false" outlineLevel="0" collapsed="false">
      <c r="A23" s="3" t="s">
        <v>540</v>
      </c>
      <c r="B23" s="2" t="n">
        <v>0.0025</v>
      </c>
      <c r="C23" s="2" t="n">
        <v>0.0046</v>
      </c>
    </row>
    <row r="24" customFormat="false" ht="15" hidden="false" customHeight="false" outlineLevel="0" collapsed="false">
      <c r="A24" s="3" t="s">
        <v>541</v>
      </c>
      <c r="B24" s="2" t="n">
        <v>0.0024</v>
      </c>
      <c r="C24" s="2" t="n">
        <v>0.0035</v>
      </c>
    </row>
    <row r="25" customFormat="false" ht="15" hidden="false" customHeight="false" outlineLevel="0" collapsed="false">
      <c r="A25" s="2" t="s">
        <v>542</v>
      </c>
      <c r="B25" s="2" t="n">
        <v>0.0023</v>
      </c>
      <c r="C25" s="2" t="n">
        <v>0.0024</v>
      </c>
    </row>
    <row r="26" customFormat="false" ht="15" hidden="false" customHeight="false" outlineLevel="0" collapsed="false">
      <c r="A26" s="3" t="s">
        <v>41</v>
      </c>
      <c r="B26" s="2" t="n">
        <v>0.0022</v>
      </c>
      <c r="C26" s="2" t="n">
        <v>0.0037</v>
      </c>
    </row>
    <row r="27" customFormat="false" ht="15" hidden="false" customHeight="false" outlineLevel="0" collapsed="false">
      <c r="A27" s="3" t="s">
        <v>43</v>
      </c>
      <c r="B27" s="2" t="n">
        <v>0.0018</v>
      </c>
      <c r="C27" s="2" t="n">
        <v>0.0019</v>
      </c>
    </row>
    <row r="28" customFormat="false" ht="15" hidden="false" customHeight="false" outlineLevel="0" collapsed="false">
      <c r="A28" s="3" t="s">
        <v>543</v>
      </c>
      <c r="B28" s="2" t="n">
        <v>0.0015</v>
      </c>
      <c r="C28" s="2" t="n">
        <v>0.0034</v>
      </c>
    </row>
    <row r="29" customFormat="false" ht="15" hidden="false" customHeight="false" outlineLevel="0" collapsed="false">
      <c r="A29" s="2" t="s">
        <v>544</v>
      </c>
      <c r="B29" s="2" t="n">
        <v>0.0013</v>
      </c>
      <c r="C29" s="2" t="n">
        <v>0.0025</v>
      </c>
    </row>
    <row r="30" customFormat="false" ht="15" hidden="false" customHeight="false" outlineLevel="0" collapsed="false">
      <c r="A30" s="3" t="s">
        <v>545</v>
      </c>
      <c r="B30" s="2" t="n">
        <v>0.001</v>
      </c>
      <c r="C30" s="2" t="n">
        <v>0.0021</v>
      </c>
    </row>
    <row r="31" customFormat="false" ht="15" hidden="false" customHeight="false" outlineLevel="0" collapsed="false">
      <c r="A31" s="2" t="s">
        <v>546</v>
      </c>
      <c r="B31" s="2" t="n">
        <v>0.0008</v>
      </c>
      <c r="C31" s="2" t="n">
        <v>0.0018</v>
      </c>
    </row>
    <row r="32" customFormat="false" ht="15" hidden="false" customHeight="false" outlineLevel="0" collapsed="false">
      <c r="A32" s="3" t="s">
        <v>547</v>
      </c>
      <c r="B32" s="2" t="n">
        <v>0.0004</v>
      </c>
      <c r="C32" s="2" t="n">
        <v>0.0025</v>
      </c>
    </row>
    <row r="33" customFormat="false" ht="15" hidden="false" customHeight="false" outlineLevel="0" collapsed="false">
      <c r="A33" s="3" t="s">
        <v>548</v>
      </c>
      <c r="B33" s="2" t="n">
        <v>0.0003</v>
      </c>
      <c r="C33" s="2" t="n">
        <v>0.0007</v>
      </c>
    </row>
    <row r="34" customFormat="false" ht="15" hidden="false" customHeight="false" outlineLevel="0" collapsed="false">
      <c r="A34" s="2" t="s">
        <v>549</v>
      </c>
      <c r="B34" s="2" t="n">
        <v>0.0002</v>
      </c>
      <c r="C34" s="2" t="n">
        <v>0.0012</v>
      </c>
    </row>
    <row r="35" customFormat="false" ht="15" hidden="false" customHeight="false" outlineLevel="0" collapsed="false">
      <c r="A35" s="2" t="s">
        <v>550</v>
      </c>
      <c r="B35" s="2" t="n">
        <v>0.0001</v>
      </c>
      <c r="C35" s="2" t="n">
        <v>0.0017</v>
      </c>
    </row>
    <row r="36" customFormat="false" ht="15" hidden="false" customHeight="false" outlineLevel="0" collapsed="false">
      <c r="A36" s="3" t="s">
        <v>551</v>
      </c>
      <c r="B36" s="2" t="n">
        <v>0.0001</v>
      </c>
      <c r="C36" s="2" t="n">
        <v>0.0052</v>
      </c>
    </row>
    <row r="37" customFormat="false" ht="15" hidden="false" customHeight="false" outlineLevel="0" collapsed="false">
      <c r="A37" s="2" t="s">
        <v>552</v>
      </c>
      <c r="B37" s="2" t="n">
        <v>0</v>
      </c>
      <c r="C37" s="2" t="n">
        <v>0.0018</v>
      </c>
    </row>
    <row r="38" customFormat="false" ht="15" hidden="false" customHeight="false" outlineLevel="0" collapsed="false">
      <c r="A38" s="2" t="s">
        <v>553</v>
      </c>
      <c r="B38" s="2" t="n">
        <v>-0.0001</v>
      </c>
      <c r="C38" s="2" t="n">
        <v>0.0007</v>
      </c>
    </row>
    <row r="39" customFormat="false" ht="15" hidden="false" customHeight="false" outlineLevel="0" collapsed="false">
      <c r="A39" s="3" t="s">
        <v>554</v>
      </c>
      <c r="B39" s="2" t="n">
        <v>-0.0006</v>
      </c>
      <c r="C39" s="2" t="n">
        <v>0.0032</v>
      </c>
    </row>
    <row r="40" customFormat="false" ht="15" hidden="false" customHeight="false" outlineLevel="0" collapsed="false">
      <c r="A40" s="3" t="s">
        <v>555</v>
      </c>
      <c r="B40" s="2" t="n">
        <v>-0.0007</v>
      </c>
      <c r="C40" s="2" t="n">
        <v>0.0016</v>
      </c>
    </row>
    <row r="41" customFormat="false" ht="15" hidden="false" customHeight="false" outlineLevel="0" collapsed="false">
      <c r="A41" s="2" t="s">
        <v>556</v>
      </c>
      <c r="B41" s="2" t="n">
        <v>-0.0008</v>
      </c>
      <c r="C41" s="2" t="n">
        <v>0.0018</v>
      </c>
    </row>
    <row r="42" customFormat="false" ht="15" hidden="false" customHeight="false" outlineLevel="0" collapsed="false">
      <c r="A42" s="3" t="s">
        <v>557</v>
      </c>
      <c r="B42" s="2" t="n">
        <v>-0.0012</v>
      </c>
      <c r="C42" s="2" t="n">
        <v>0.001</v>
      </c>
    </row>
    <row r="43" customFormat="false" ht="15" hidden="false" customHeight="false" outlineLevel="0" collapsed="false">
      <c r="A43" s="3" t="s">
        <v>558</v>
      </c>
      <c r="B43" s="2" t="n">
        <v>-0.0016</v>
      </c>
      <c r="C43" s="2" t="n">
        <v>0.0017</v>
      </c>
    </row>
    <row r="44" customFormat="false" ht="15" hidden="false" customHeight="false" outlineLevel="0" collapsed="false">
      <c r="A44" s="2" t="s">
        <v>559</v>
      </c>
      <c r="B44" s="2" t="n">
        <v>-0.0019</v>
      </c>
      <c r="C44" s="2" t="n">
        <v>0.0016</v>
      </c>
    </row>
    <row r="45" customFormat="false" ht="15" hidden="false" customHeight="false" outlineLevel="0" collapsed="false">
      <c r="A45" s="3" t="s">
        <v>560</v>
      </c>
      <c r="B45" s="2" t="n">
        <v>-0.0025</v>
      </c>
      <c r="C45" s="2" t="n">
        <v>0.0019</v>
      </c>
    </row>
    <row r="46" customFormat="false" ht="15" hidden="false" customHeight="false" outlineLevel="0" collapsed="false">
      <c r="A46" s="3" t="s">
        <v>561</v>
      </c>
      <c r="B46" s="2" t="n">
        <v>-0.0025</v>
      </c>
      <c r="C46" s="2" t="n">
        <v>0.0024</v>
      </c>
    </row>
    <row r="47" customFormat="false" ht="15" hidden="false" customHeight="false" outlineLevel="0" collapsed="false">
      <c r="A47" s="3" t="s">
        <v>562</v>
      </c>
      <c r="B47" s="2" t="n">
        <v>-0.0027</v>
      </c>
      <c r="C47" s="2" t="n">
        <v>0.0089</v>
      </c>
    </row>
    <row r="48" customFormat="false" ht="15" hidden="false" customHeight="false" outlineLevel="0" collapsed="false">
      <c r="A48" s="3" t="s">
        <v>563</v>
      </c>
      <c r="B48" s="2" t="n">
        <v>-0.0044</v>
      </c>
      <c r="C48" s="2" t="n">
        <v>0.0047</v>
      </c>
    </row>
    <row r="49" customFormat="false" ht="15" hidden="false" customHeight="false" outlineLevel="0" collapsed="false">
      <c r="A49" s="2" t="s">
        <v>564</v>
      </c>
      <c r="B49" s="2" t="n">
        <v>-0.0046</v>
      </c>
      <c r="C49" s="2" t="n">
        <v>0.0023</v>
      </c>
    </row>
    <row r="50" customFormat="false" ht="15" hidden="false" customHeight="false" outlineLevel="0" collapsed="false">
      <c r="A50" s="2" t="s">
        <v>565</v>
      </c>
      <c r="B50" s="2" t="n">
        <v>-0.0058</v>
      </c>
      <c r="C50" s="2" t="n">
        <v>0.003</v>
      </c>
    </row>
    <row r="51" customFormat="false" ht="15" hidden="false" customHeight="false" outlineLevel="0" collapsed="false">
      <c r="A51" s="3" t="s">
        <v>566</v>
      </c>
      <c r="B51" s="2" t="n">
        <v>-0.0063</v>
      </c>
      <c r="C51" s="2" t="n">
        <v>0.0034</v>
      </c>
    </row>
    <row r="52" customFormat="false" ht="15" hidden="false" customHeight="false" outlineLevel="0" collapsed="false">
      <c r="A52" s="3" t="s">
        <v>567</v>
      </c>
      <c r="B52" s="2" t="n">
        <v>-0.0071</v>
      </c>
      <c r="C52" s="2" t="n">
        <v>0.0028</v>
      </c>
    </row>
    <row r="53" customFormat="false" ht="15" hidden="false" customHeight="false" outlineLevel="0" collapsed="false">
      <c r="A53" s="3" t="s">
        <v>568</v>
      </c>
      <c r="B53" s="2" t="n">
        <v>-0.0077</v>
      </c>
      <c r="C53" s="2" t="n">
        <v>0.0062</v>
      </c>
    </row>
    <row r="54" customFormat="false" ht="15" hidden="false" customHeight="false" outlineLevel="0" collapsed="false">
      <c r="A54" s="3" t="s">
        <v>569</v>
      </c>
      <c r="B54" s="2" t="n">
        <v>-0.0083</v>
      </c>
      <c r="C54" s="2" t="n">
        <v>0.0032</v>
      </c>
    </row>
    <row r="55" customFormat="false" ht="15" hidden="false" customHeight="false" outlineLevel="0" collapsed="false">
      <c r="A55" s="3" t="s">
        <v>570</v>
      </c>
      <c r="B55" s="2" t="n">
        <v>-0.0089</v>
      </c>
      <c r="C55" s="2" t="n">
        <v>0.0076</v>
      </c>
    </row>
    <row r="57" customFormat="false" ht="15" hidden="false" customHeight="false" outlineLevel="0" collapsed="false">
      <c r="A57" s="3" t="s">
        <v>571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10"/>
    <col collapsed="false" customWidth="true" hidden="false" outlineLevel="0" max="4" min="4" style="0" width="50"/>
  </cols>
  <sheetData>
    <row r="1" customFormat="false" ht="15" hidden="false" customHeight="false" outlineLevel="0" collapsed="false">
      <c r="A1" s="1" t="s">
        <v>572</v>
      </c>
      <c r="B1" s="5" t="s">
        <v>573</v>
      </c>
      <c r="C1" s="5" t="s">
        <v>574</v>
      </c>
      <c r="D1" s="1" t="s">
        <v>575</v>
      </c>
    </row>
    <row r="2" customFormat="false" ht="15" hidden="false" customHeight="false" outlineLevel="0" collapsed="false">
      <c r="A2" s="3" t="s">
        <v>576</v>
      </c>
      <c r="B2" s="2" t="n">
        <v>0.969</v>
      </c>
      <c r="C2" s="2" t="n">
        <v>0.954</v>
      </c>
      <c r="D2" s="3" t="s">
        <v>577</v>
      </c>
    </row>
    <row r="3" customFormat="false" ht="15" hidden="false" customHeight="false" outlineLevel="0" collapsed="false">
      <c r="A3" s="3" t="s">
        <v>578</v>
      </c>
      <c r="B3" s="2" t="n">
        <v>17</v>
      </c>
      <c r="C3" s="2" t="n">
        <v>13</v>
      </c>
      <c r="D3" s="2" t="s">
        <v>579</v>
      </c>
    </row>
    <row r="4" customFormat="false" ht="15" hidden="false" customHeight="false" outlineLevel="0" collapsed="false">
      <c r="A4" s="3" t="s">
        <v>580</v>
      </c>
      <c r="B4" s="2" t="n">
        <v>8</v>
      </c>
      <c r="C4" s="2" t="n">
        <v>7</v>
      </c>
      <c r="D4" s="2"/>
    </row>
    <row r="5" customFormat="false" ht="15" hidden="false" customHeight="false" outlineLevel="0" collapsed="false">
      <c r="A5" s="3" t="s">
        <v>581</v>
      </c>
      <c r="B5" s="2" t="n">
        <v>6</v>
      </c>
      <c r="C5" s="2" t="n">
        <v>4</v>
      </c>
      <c r="D5" s="3" t="s">
        <v>582</v>
      </c>
    </row>
    <row r="6" customFormat="false" ht="15" hidden="false" customHeight="false" outlineLevel="0" collapsed="false">
      <c r="A6" s="3" t="s">
        <v>583</v>
      </c>
      <c r="B6" s="2" t="n">
        <v>0.967</v>
      </c>
      <c r="C6" s="2" t="n">
        <v>0.96</v>
      </c>
      <c r="D6" s="3" t="s">
        <v>584</v>
      </c>
    </row>
    <row r="7" customFormat="false" ht="15" hidden="false" customHeight="false" outlineLevel="0" collapsed="false">
      <c r="A7" s="3" t="s">
        <v>585</v>
      </c>
      <c r="B7" s="2" t="n">
        <v>18</v>
      </c>
      <c r="C7" s="2" t="n">
        <v>17</v>
      </c>
      <c r="D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2026-10-14T14:13:52Z</dcterms:created>
  <dc:creator>openpyxl</dc:creator>
  <dc:description/>
  <dc:language>en-US</dc:language>
  <cp:lastModifiedBy/>
  <dcterms:modified xsi:type="dcterms:W3CDTF">2026-10-14T14:13:53Z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